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ichler536\github\VDV301tester\"/>
    </mc:Choice>
  </mc:AlternateContent>
  <xr:revisionPtr revIDLastSave="0" documentId="13_ncr:1_{6D9BBBAE-42D1-4BEB-A37A-E3CE3797FB5D}" xr6:coauthVersionLast="47" xr6:coauthVersionMax="47" xr10:uidLastSave="{00000000-0000-0000-0000-000000000000}"/>
  <bookViews>
    <workbookView xWindow="-28920" yWindow="-120" windowWidth="29040" windowHeight="15720" firstSheet="2" activeTab="5" xr2:uid="{00000000-000D-0000-FFFF-FFFF00000000}"/>
  </bookViews>
  <sheets>
    <sheet name="Namluvit" sheetId="5" r:id="rId1"/>
    <sheet name="slozit" sheetId="8" r:id="rId2"/>
    <sheet name="mergedResult" sheetId="10" r:id="rId3"/>
    <sheet name="Namluveno k 12-2020" sheetId="7" r:id="rId4"/>
    <sheet name="ciselnik" sheetId="9" r:id="rId5"/>
    <sheet name="iconList" sheetId="11" r:id="rId6"/>
    <sheet name="stopPointGenerator" sheetId="12" r:id="rId7"/>
    <sheet name="spJoint" sheetId="13" r:id="rId8"/>
  </sheets>
  <definedNames>
    <definedName name="_xlnm._FilterDatabase" localSheetId="0" hidden="1">Namluvit!$A$1:$C$3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3" l="1"/>
  <c r="D3" i="12"/>
  <c r="J3" i="12"/>
  <c r="D4" i="12"/>
  <c r="J4" i="12"/>
  <c r="D5" i="12"/>
  <c r="J5" i="12"/>
  <c r="D6" i="12"/>
  <c r="J6" i="12"/>
  <c r="D7" i="12"/>
  <c r="J7" i="12"/>
  <c r="D8" i="12"/>
  <c r="J8" i="12"/>
  <c r="D9" i="12"/>
  <c r="J9" i="12"/>
  <c r="D10" i="12"/>
  <c r="J10" i="12"/>
  <c r="D11" i="12"/>
  <c r="J11" i="12"/>
  <c r="D12" i="12"/>
  <c r="J12" i="12"/>
  <c r="D13" i="12"/>
  <c r="J13" i="12"/>
  <c r="D14" i="12"/>
  <c r="J14" i="12"/>
  <c r="D15" i="12"/>
  <c r="J15" i="12"/>
  <c r="D16" i="12"/>
  <c r="J16" i="12"/>
  <c r="D17" i="12"/>
  <c r="J17" i="12"/>
  <c r="D18" i="12"/>
  <c r="J18" i="12"/>
  <c r="D19" i="12"/>
  <c r="J19" i="12"/>
  <c r="D20" i="12"/>
  <c r="J20" i="12"/>
  <c r="D21" i="12"/>
  <c r="J21" i="12"/>
  <c r="D22" i="12"/>
  <c r="J22" i="12"/>
  <c r="D23" i="12"/>
  <c r="J23" i="12"/>
  <c r="D24" i="12"/>
  <c r="J24" i="12"/>
  <c r="D25" i="12"/>
  <c r="J25" i="12"/>
  <c r="D26" i="12"/>
  <c r="J26" i="12"/>
  <c r="D27" i="12"/>
  <c r="J27" i="12"/>
  <c r="D28" i="12"/>
  <c r="J28" i="12"/>
  <c r="D29" i="12"/>
  <c r="J29" i="12"/>
  <c r="D30" i="12"/>
  <c r="J30" i="12"/>
  <c r="D31" i="12"/>
  <c r="J31" i="12"/>
  <c r="D32" i="12"/>
  <c r="J32" i="12"/>
  <c r="D33" i="12"/>
  <c r="J33" i="12"/>
  <c r="D2" i="12"/>
  <c r="J2" i="12"/>
  <c r="D1" i="12"/>
  <c r="J1" i="12" s="1"/>
  <c r="D3" i="8"/>
  <c r="D4" i="8"/>
  <c r="D5" i="8"/>
  <c r="D6" i="8"/>
  <c r="D7" i="8"/>
  <c r="D8" i="8"/>
  <c r="Q8" i="8" s="1"/>
  <c r="D9" i="8"/>
  <c r="Q9" i="8" s="1"/>
  <c r="D10" i="8"/>
  <c r="D11" i="8"/>
  <c r="D12" i="8"/>
  <c r="D13" i="8"/>
  <c r="Q13" i="8" s="1"/>
  <c r="D14" i="8"/>
  <c r="Q14" i="8" s="1"/>
  <c r="D15" i="8"/>
  <c r="D16" i="8"/>
  <c r="D17" i="8"/>
  <c r="Q17" i="8" s="1"/>
  <c r="D18" i="8"/>
  <c r="D19" i="8"/>
  <c r="D20" i="8"/>
  <c r="D21" i="8"/>
  <c r="Q21" i="8" s="1"/>
  <c r="D22" i="8"/>
  <c r="Q22" i="8" s="1"/>
  <c r="D23" i="8"/>
  <c r="Q23" i="8" s="1"/>
  <c r="D24" i="8"/>
  <c r="Q24" i="8" s="1"/>
  <c r="D25" i="8"/>
  <c r="Q25" i="8" s="1"/>
  <c r="D26" i="8"/>
  <c r="Q26" i="8" s="1"/>
  <c r="D27" i="8"/>
  <c r="D28" i="8"/>
  <c r="D29" i="8"/>
  <c r="D30" i="8"/>
  <c r="D31" i="8"/>
  <c r="Q31" i="8" s="1"/>
  <c r="D32" i="8"/>
  <c r="Q32" i="8" s="1"/>
  <c r="D33" i="8"/>
  <c r="Q33" i="8" s="1"/>
  <c r="D34" i="8"/>
  <c r="Q34" i="8" s="1"/>
  <c r="Q5" i="8"/>
  <c r="Q7" i="8"/>
  <c r="Q10" i="8"/>
  <c r="Q11" i="8"/>
  <c r="O27" i="8"/>
  <c r="P27" i="8"/>
  <c r="Q27" i="8"/>
  <c r="S27" i="8"/>
  <c r="T27" i="8"/>
  <c r="U27" i="8"/>
  <c r="V27" i="8"/>
  <c r="W27" i="8"/>
  <c r="X27" i="8"/>
  <c r="O28" i="8"/>
  <c r="P28" i="8"/>
  <c r="Q28" i="8"/>
  <c r="S28" i="8"/>
  <c r="T28" i="8"/>
  <c r="U28" i="8"/>
  <c r="V28" i="8"/>
  <c r="W28" i="8"/>
  <c r="X28" i="8"/>
  <c r="O29" i="8"/>
  <c r="P29" i="8"/>
  <c r="Q29" i="8"/>
  <c r="S29" i="8"/>
  <c r="T29" i="8"/>
  <c r="U29" i="8"/>
  <c r="V29" i="8"/>
  <c r="W29" i="8"/>
  <c r="X29" i="8"/>
  <c r="O30" i="8"/>
  <c r="P30" i="8"/>
  <c r="Q30" i="8"/>
  <c r="S30" i="8"/>
  <c r="T30" i="8"/>
  <c r="U30" i="8"/>
  <c r="V30" i="8"/>
  <c r="W30" i="8"/>
  <c r="X30" i="8"/>
  <c r="O31" i="8"/>
  <c r="P31" i="8"/>
  <c r="S31" i="8"/>
  <c r="T31" i="8"/>
  <c r="U31" i="8"/>
  <c r="V31" i="8"/>
  <c r="W31" i="8"/>
  <c r="X31" i="8"/>
  <c r="N32" i="8"/>
  <c r="O32" i="8"/>
  <c r="P32" i="8"/>
  <c r="S32" i="8"/>
  <c r="T32" i="8"/>
  <c r="U32" i="8"/>
  <c r="V32" i="8"/>
  <c r="W32" i="8"/>
  <c r="X32" i="8"/>
  <c r="N33" i="8"/>
  <c r="O33" i="8"/>
  <c r="P33" i="8"/>
  <c r="R33" i="8"/>
  <c r="S33" i="8"/>
  <c r="T33" i="8"/>
  <c r="U33" i="8"/>
  <c r="V33" i="8"/>
  <c r="W33" i="8"/>
  <c r="X33" i="8"/>
  <c r="O34" i="8"/>
  <c r="P34" i="8"/>
  <c r="S34" i="8"/>
  <c r="T34" i="8"/>
  <c r="U34" i="8"/>
  <c r="V34" i="8"/>
  <c r="W34" i="8"/>
  <c r="X34" i="8"/>
  <c r="E27" i="8"/>
  <c r="R27" i="8" s="1"/>
  <c r="E28" i="8"/>
  <c r="R28" i="8" s="1"/>
  <c r="E29" i="8"/>
  <c r="R29" i="8" s="1"/>
  <c r="E30" i="8"/>
  <c r="R30" i="8" s="1"/>
  <c r="E31" i="8"/>
  <c r="R31" i="8" s="1"/>
  <c r="E32" i="8"/>
  <c r="R32" i="8" s="1"/>
  <c r="E33" i="8"/>
  <c r="E34" i="8"/>
  <c r="R34" i="8" s="1"/>
  <c r="A27" i="8"/>
  <c r="N27" i="8" s="1"/>
  <c r="A28" i="8"/>
  <c r="N28" i="8" s="1"/>
  <c r="Y28" i="8" s="1"/>
  <c r="A29" i="8"/>
  <c r="N29" i="8" s="1"/>
  <c r="Y29" i="8" s="1"/>
  <c r="A30" i="8"/>
  <c r="N30" i="8" s="1"/>
  <c r="Y30" i="8" s="1"/>
  <c r="A31" i="8"/>
  <c r="N31" i="8" s="1"/>
  <c r="A32" i="8"/>
  <c r="A33" i="8"/>
  <c r="A34" i="8"/>
  <c r="N34" i="8" s="1"/>
  <c r="Q18" i="8"/>
  <c r="Q15" i="8"/>
  <c r="E3" i="8"/>
  <c r="R3" i="8" s="1"/>
  <c r="E4" i="8"/>
  <c r="E5" i="8"/>
  <c r="E6" i="8"/>
  <c r="R6" i="8" s="1"/>
  <c r="E7" i="8"/>
  <c r="E8" i="8"/>
  <c r="E9" i="8"/>
  <c r="E10" i="8"/>
  <c r="R10" i="8" s="1"/>
  <c r="E11" i="8"/>
  <c r="E12" i="8"/>
  <c r="R12" i="8" s="1"/>
  <c r="E13" i="8"/>
  <c r="R13" i="8" s="1"/>
  <c r="E14" i="8"/>
  <c r="R14" i="8" s="1"/>
  <c r="E15" i="8"/>
  <c r="R15" i="8" s="1"/>
  <c r="E16" i="8"/>
  <c r="R16" i="8" s="1"/>
  <c r="E17" i="8"/>
  <c r="E18" i="8"/>
  <c r="E19" i="8"/>
  <c r="E20" i="8"/>
  <c r="R20" i="8" s="1"/>
  <c r="E21" i="8"/>
  <c r="E22" i="8"/>
  <c r="E23" i="8"/>
  <c r="E24" i="8"/>
  <c r="R24" i="8" s="1"/>
  <c r="E25" i="8"/>
  <c r="R25" i="8" s="1"/>
  <c r="E26" i="8"/>
  <c r="R26" i="8" s="1"/>
  <c r="Q12" i="8"/>
  <c r="D2" i="8"/>
  <c r="Q2" i="8" s="1"/>
  <c r="A3" i="8"/>
  <c r="A4" i="8"/>
  <c r="A5" i="8"/>
  <c r="A6" i="8"/>
  <c r="A7" i="8"/>
  <c r="N7" i="8" s="1"/>
  <c r="A8" i="8"/>
  <c r="N8" i="8" s="1"/>
  <c r="A9" i="8"/>
  <c r="N9" i="8" s="1"/>
  <c r="A10" i="8"/>
  <c r="A11" i="8"/>
  <c r="N11" i="8" s="1"/>
  <c r="A12" i="8"/>
  <c r="N12" i="8" s="1"/>
  <c r="A13" i="8"/>
  <c r="N13" i="8" s="1"/>
  <c r="A14" i="8"/>
  <c r="N14" i="8" s="1"/>
  <c r="A15" i="8"/>
  <c r="A16" i="8"/>
  <c r="A17" i="8"/>
  <c r="A18" i="8"/>
  <c r="A19" i="8"/>
  <c r="N19" i="8" s="1"/>
  <c r="A20" i="8"/>
  <c r="A21" i="8"/>
  <c r="N21" i="8" s="1"/>
  <c r="A22" i="8"/>
  <c r="A23" i="8"/>
  <c r="N23" i="8" s="1"/>
  <c r="A24" i="8"/>
  <c r="N24" i="8" s="1"/>
  <c r="A25" i="8"/>
  <c r="N25" i="8" s="1"/>
  <c r="A26" i="8"/>
  <c r="N26" i="8" s="1"/>
  <c r="E2" i="8"/>
  <c r="A2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" i="8"/>
  <c r="P9" i="8"/>
  <c r="R9" i="8"/>
  <c r="S9" i="8"/>
  <c r="T9" i="8"/>
  <c r="U9" i="8"/>
  <c r="V9" i="8"/>
  <c r="W9" i="8"/>
  <c r="X9" i="8"/>
  <c r="N10" i="8"/>
  <c r="P10" i="8"/>
  <c r="S10" i="8"/>
  <c r="T10" i="8"/>
  <c r="U10" i="8"/>
  <c r="V10" i="8"/>
  <c r="W10" i="8"/>
  <c r="X10" i="8"/>
  <c r="P11" i="8"/>
  <c r="R11" i="8"/>
  <c r="S11" i="8"/>
  <c r="T11" i="8"/>
  <c r="U11" i="8"/>
  <c r="V11" i="8"/>
  <c r="W11" i="8"/>
  <c r="X11" i="8"/>
  <c r="P12" i="8"/>
  <c r="S12" i="8"/>
  <c r="T12" i="8"/>
  <c r="U12" i="8"/>
  <c r="V12" i="8"/>
  <c r="W12" i="8"/>
  <c r="X12" i="8"/>
  <c r="P13" i="8"/>
  <c r="S13" i="8"/>
  <c r="T13" i="8"/>
  <c r="U13" i="8"/>
  <c r="V13" i="8"/>
  <c r="W13" i="8"/>
  <c r="X13" i="8"/>
  <c r="P14" i="8"/>
  <c r="S14" i="8"/>
  <c r="T14" i="8"/>
  <c r="U14" i="8"/>
  <c r="V14" i="8"/>
  <c r="W14" i="8"/>
  <c r="X14" i="8"/>
  <c r="N15" i="8"/>
  <c r="P15" i="8"/>
  <c r="S15" i="8"/>
  <c r="T15" i="8"/>
  <c r="U15" i="8"/>
  <c r="V15" i="8"/>
  <c r="W15" i="8"/>
  <c r="X15" i="8"/>
  <c r="N16" i="8"/>
  <c r="P16" i="8"/>
  <c r="Q16" i="8"/>
  <c r="S16" i="8"/>
  <c r="T16" i="8"/>
  <c r="U16" i="8"/>
  <c r="V16" i="8"/>
  <c r="W16" i="8"/>
  <c r="X16" i="8"/>
  <c r="N17" i="8"/>
  <c r="P17" i="8"/>
  <c r="R17" i="8"/>
  <c r="S17" i="8"/>
  <c r="T17" i="8"/>
  <c r="U17" i="8"/>
  <c r="V17" i="8"/>
  <c r="W17" i="8"/>
  <c r="X17" i="8"/>
  <c r="N18" i="8"/>
  <c r="P18" i="8"/>
  <c r="R18" i="8"/>
  <c r="S18" i="8"/>
  <c r="T18" i="8"/>
  <c r="U18" i="8"/>
  <c r="V18" i="8"/>
  <c r="W18" i="8"/>
  <c r="X18" i="8"/>
  <c r="P19" i="8"/>
  <c r="Q19" i="8"/>
  <c r="R19" i="8"/>
  <c r="S19" i="8"/>
  <c r="T19" i="8"/>
  <c r="U19" i="8"/>
  <c r="V19" i="8"/>
  <c r="W19" i="8"/>
  <c r="X19" i="8"/>
  <c r="N20" i="8"/>
  <c r="P20" i="8"/>
  <c r="Q20" i="8"/>
  <c r="S20" i="8"/>
  <c r="T20" i="8"/>
  <c r="U20" i="8"/>
  <c r="V20" i="8"/>
  <c r="W20" i="8"/>
  <c r="X20" i="8"/>
  <c r="P21" i="8"/>
  <c r="R21" i="8"/>
  <c r="S21" i="8"/>
  <c r="T21" i="8"/>
  <c r="U21" i="8"/>
  <c r="V21" i="8"/>
  <c r="W21" i="8"/>
  <c r="X21" i="8"/>
  <c r="N22" i="8"/>
  <c r="P22" i="8"/>
  <c r="R22" i="8"/>
  <c r="S22" i="8"/>
  <c r="T22" i="8"/>
  <c r="U22" i="8"/>
  <c r="V22" i="8"/>
  <c r="W22" i="8"/>
  <c r="X22" i="8"/>
  <c r="P23" i="8"/>
  <c r="R23" i="8"/>
  <c r="S23" i="8"/>
  <c r="T23" i="8"/>
  <c r="U23" i="8"/>
  <c r="V23" i="8"/>
  <c r="W23" i="8"/>
  <c r="X23" i="8"/>
  <c r="P24" i="8"/>
  <c r="S24" i="8"/>
  <c r="T24" i="8"/>
  <c r="U24" i="8"/>
  <c r="V24" i="8"/>
  <c r="W24" i="8"/>
  <c r="X24" i="8"/>
  <c r="P25" i="8"/>
  <c r="S25" i="8"/>
  <c r="T25" i="8"/>
  <c r="U25" i="8"/>
  <c r="V25" i="8"/>
  <c r="W25" i="8"/>
  <c r="X25" i="8"/>
  <c r="P26" i="8"/>
  <c r="S26" i="8"/>
  <c r="T26" i="8"/>
  <c r="U26" i="8"/>
  <c r="V26" i="8"/>
  <c r="W26" i="8"/>
  <c r="X26" i="8"/>
  <c r="N3" i="8"/>
  <c r="P3" i="8"/>
  <c r="Q3" i="8"/>
  <c r="S3" i="8"/>
  <c r="T3" i="8"/>
  <c r="U3" i="8"/>
  <c r="N4" i="8"/>
  <c r="P4" i="8"/>
  <c r="Q4" i="8"/>
  <c r="R4" i="8"/>
  <c r="S4" i="8"/>
  <c r="T4" i="8"/>
  <c r="U4" i="8"/>
  <c r="N5" i="8"/>
  <c r="P5" i="8"/>
  <c r="R5" i="8"/>
  <c r="S5" i="8"/>
  <c r="T5" i="8"/>
  <c r="U5" i="8"/>
  <c r="N6" i="8"/>
  <c r="P6" i="8"/>
  <c r="Q6" i="8"/>
  <c r="S6" i="8"/>
  <c r="T6" i="8"/>
  <c r="U6" i="8"/>
  <c r="P7" i="8"/>
  <c r="R7" i="8"/>
  <c r="S7" i="8"/>
  <c r="T7" i="8"/>
  <c r="U7" i="8"/>
  <c r="P8" i="8"/>
  <c r="R8" i="8"/>
  <c r="S8" i="8"/>
  <c r="T8" i="8"/>
  <c r="U8" i="8"/>
  <c r="T2" i="8"/>
  <c r="S2" i="8"/>
  <c r="V3" i="8"/>
  <c r="W3" i="8"/>
  <c r="X3" i="8"/>
  <c r="V2" i="8"/>
  <c r="W2" i="8"/>
  <c r="X2" i="8"/>
  <c r="V5" i="8"/>
  <c r="W5" i="8"/>
  <c r="X5" i="8"/>
  <c r="V4" i="8"/>
  <c r="W4" i="8"/>
  <c r="X4" i="8"/>
  <c r="V8" i="8"/>
  <c r="W8" i="8"/>
  <c r="X8" i="8"/>
  <c r="V7" i="8"/>
  <c r="W7" i="8"/>
  <c r="X7" i="8"/>
  <c r="V6" i="8"/>
  <c r="W6" i="8"/>
  <c r="X6" i="8"/>
  <c r="U2" i="8"/>
  <c r="N2" i="8"/>
  <c r="P2" i="8"/>
  <c r="R2" i="8"/>
  <c r="Y27" i="8" l="1"/>
  <c r="Y32" i="8"/>
  <c r="Y31" i="8"/>
  <c r="Y34" i="8"/>
  <c r="Y33" i="8"/>
  <c r="Y19" i="8"/>
  <c r="Y15" i="8"/>
  <c r="Y24" i="8"/>
  <c r="Y17" i="8"/>
  <c r="Y22" i="8"/>
  <c r="Y23" i="8"/>
  <c r="Y25" i="8"/>
  <c r="Y21" i="8"/>
  <c r="Y18" i="8"/>
  <c r="Y26" i="8"/>
  <c r="Y20" i="8"/>
  <c r="Y12" i="8"/>
  <c r="Y4" i="8"/>
  <c r="Y9" i="8"/>
  <c r="Y8" i="8"/>
  <c r="Y7" i="8"/>
  <c r="Y6" i="8"/>
  <c r="Y5" i="8"/>
  <c r="Y3" i="8"/>
  <c r="Y11" i="8"/>
  <c r="Y16" i="8"/>
  <c r="Y10" i="8"/>
  <c r="Y13" i="8"/>
  <c r="Y14" i="8"/>
  <c r="Y2" i="8"/>
  <c r="A1" i="10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<sst xmlns="http://schemas.openxmlformats.org/spreadsheetml/2006/main" count="862" uniqueCount="601">
  <si>
    <t>OIS</t>
  </si>
  <si>
    <t>Název zst.</t>
  </si>
  <si>
    <t>číslo CIS</t>
  </si>
  <si>
    <t>Pozn.</t>
  </si>
  <si>
    <t>Bělčice,,SZZ</t>
  </si>
  <si>
    <t>Blatná,,Boženy Němcové</t>
  </si>
  <si>
    <t>Blatná,,Palackého</t>
  </si>
  <si>
    <t>Blatná,Skaličany</t>
  </si>
  <si>
    <t>Březnice,,nám.</t>
  </si>
  <si>
    <t>Březnice,,ÚNZ</t>
  </si>
  <si>
    <t>Březnice,Martinice</t>
  </si>
  <si>
    <t>Daleké Dušníky</t>
  </si>
  <si>
    <t>Daleké Dušníky,Druhlice</t>
  </si>
  <si>
    <t>Dolní Hbity</t>
  </si>
  <si>
    <t>Dolní Hbity,Jelence</t>
  </si>
  <si>
    <t>Dolní Hbity,Kaliště</t>
  </si>
  <si>
    <t>Drahenice</t>
  </si>
  <si>
    <t>Horčápsko</t>
  </si>
  <si>
    <t>Hrejkovice</t>
  </si>
  <si>
    <t>Hrejkovice,Pechova Lhota</t>
  </si>
  <si>
    <t>Hudčice</t>
  </si>
  <si>
    <t>Chrást</t>
  </si>
  <si>
    <t>Chrást,,Lisovice</t>
  </si>
  <si>
    <t>Kadov</t>
  </si>
  <si>
    <t>Kadov,Lnářský Málkov</t>
  </si>
  <si>
    <t>Kadov,Vrbno</t>
  </si>
  <si>
    <t>Klučenice,Kosobudy</t>
  </si>
  <si>
    <t>Kovářov</t>
  </si>
  <si>
    <t>Kovářov,Lašovice</t>
  </si>
  <si>
    <t>Kovářov,Radvánov</t>
  </si>
  <si>
    <t>Kovářov,Zlučín</t>
  </si>
  <si>
    <t>Milevsko,,poliklinika</t>
  </si>
  <si>
    <t>Myštice</t>
  </si>
  <si>
    <t>Myštice,Nevželice</t>
  </si>
  <si>
    <t>Myštice,Vahlovice</t>
  </si>
  <si>
    <t>Narysov</t>
  </si>
  <si>
    <t>Narysov,Na Výfuku</t>
  </si>
  <si>
    <t>Nečín,Bělohrad</t>
  </si>
  <si>
    <t>Nečín,Jablonce</t>
  </si>
  <si>
    <t>Nečín,Skalice</t>
  </si>
  <si>
    <t>Obory,,Samoty</t>
  </si>
  <si>
    <t>Ouběnice,Ostrov</t>
  </si>
  <si>
    <t>Svaté Pole</t>
  </si>
  <si>
    <t>Svaté Pole,,U kostela</t>
  </si>
  <si>
    <t>Svatý Jan,Řadovy</t>
  </si>
  <si>
    <t>Svéradice</t>
  </si>
  <si>
    <t>Uzenice</t>
  </si>
  <si>
    <t>Uzeničky</t>
  </si>
  <si>
    <t>Velký Bor</t>
  </si>
  <si>
    <t>Višňová</t>
  </si>
  <si>
    <t>Zduchovice</t>
  </si>
  <si>
    <t>Svatý Jan,Radobyl,rozcestí</t>
  </si>
  <si>
    <t>Tochovice,,rozcestí</t>
  </si>
  <si>
    <t>Tochovice,,rozcestí k železniční stanici</t>
  </si>
  <si>
    <t>Horčápsko,,rozcestí</t>
  </si>
  <si>
    <t>Obory,,křižovatka</t>
  </si>
  <si>
    <t>Nečín,,křižovatka</t>
  </si>
  <si>
    <t>Dolní Hbity,Brodce,rozcestí</t>
  </si>
  <si>
    <t>Dolní Hbity,Nepřejov,rozcestí</t>
  </si>
  <si>
    <t>Hrej</t>
  </si>
  <si>
    <t>HrejPL</t>
  </si>
  <si>
    <t>KonV</t>
  </si>
  <si>
    <t>Chrást,,rozcestí</t>
  </si>
  <si>
    <t>Kamýk nad Vltavou</t>
  </si>
  <si>
    <t>Kamýk nad Vltavou,,u poříční správy</t>
  </si>
  <si>
    <t>Kamýk nad Vltavou,,u Mášů</t>
  </si>
  <si>
    <t>Kamýk nad Vltavou,Blatnice</t>
  </si>
  <si>
    <t>Kamýk nad Vltavou,Sedla</t>
  </si>
  <si>
    <t>Kamýk nad Vltavou,Velká</t>
  </si>
  <si>
    <t>Krásná Hora nad Vltavou</t>
  </si>
  <si>
    <t>Krásná Hora nad Vltavou,Pražská</t>
  </si>
  <si>
    <t>Krásná Hora nad Vltavou,Podmoky</t>
  </si>
  <si>
    <t>Klučenice,Planá,rozc.I</t>
  </si>
  <si>
    <t>Krásná Hora nad Vltavou,Mrázov,rozcestí</t>
  </si>
  <si>
    <t>Krásná Hora nad Vltavou,Zhoř,rozcestí</t>
  </si>
  <si>
    <t>Krásná Hora nad Vltavou,Žákovec,rozcestí</t>
  </si>
  <si>
    <t>Milešov,rozcestí</t>
  </si>
  <si>
    <t>Blatná,,železniční stanice</t>
  </si>
  <si>
    <t>Mišovice,Draheničky,rozcestí Hostišovice</t>
  </si>
  <si>
    <t>Horažďovice,,železniční stanice</t>
  </si>
  <si>
    <t>Hrejkovice,Pechova Lhota,rozcestí</t>
  </si>
  <si>
    <t>Kadov,Mračov,rozcestí</t>
  </si>
  <si>
    <t>Kovářov,rozcestí Klučenice</t>
  </si>
  <si>
    <t>Kovářov,Zahořany,rozcestí</t>
  </si>
  <si>
    <t>Mišovice,Draheničky,rozcestí</t>
  </si>
  <si>
    <t>Kostelec nad Vltavou</t>
  </si>
  <si>
    <t>Dubá,Bukovec</t>
  </si>
  <si>
    <t>Jablonné v Podještědí,železniční stanice</t>
  </si>
  <si>
    <t>Mimoň,kino</t>
  </si>
  <si>
    <t>Bezděz,Rozcestí</t>
  </si>
  <si>
    <t>Bezděz, obec</t>
  </si>
  <si>
    <t>Dubá,Zakšín</t>
  </si>
  <si>
    <t>Dubá,Deštná</t>
  </si>
  <si>
    <t>Chlum,hlavní silnice</t>
  </si>
  <si>
    <t>Jestřebí,Podolec</t>
  </si>
  <si>
    <t>Jestřebí,Újezd</t>
  </si>
  <si>
    <t>Jestřebí,křižovatka</t>
  </si>
  <si>
    <t>Česká Lípa,Borská</t>
  </si>
  <si>
    <t>Zahrádky,křižovatka</t>
  </si>
  <si>
    <t>Sosnová,hlavní silnice</t>
  </si>
  <si>
    <t>Česká Lípa,autobusové nádraží</t>
  </si>
  <si>
    <t>Nový Bor,T.G.Masaryka</t>
  </si>
  <si>
    <t>Nový Bor,náměstí Míru</t>
  </si>
  <si>
    <t>Nový Bor,autobusové nádraží</t>
  </si>
  <si>
    <t>Nový Bor,Liberecká</t>
  </si>
  <si>
    <t>Svor,otočka</t>
  </si>
  <si>
    <t>Svor, Nová Huť</t>
  </si>
  <si>
    <t>Jiřetín pod Jedlovou,Lesné</t>
  </si>
  <si>
    <t>Dolní Podluží,křižovatka</t>
  </si>
  <si>
    <t>Dolní Podluží,škola</t>
  </si>
  <si>
    <t>Varnsdorf,jatky</t>
  </si>
  <si>
    <t>Varnsdorf,Severní dráha</t>
  </si>
  <si>
    <t>Varnsdorf,sportovní hala</t>
  </si>
  <si>
    <t>Varnsdorf,aut.nádr.</t>
  </si>
  <si>
    <t>Rumburk,železniční stanice</t>
  </si>
  <si>
    <t>Březnice,,autobusové stanoviště</t>
  </si>
  <si>
    <t>Višňová,,hájenka</t>
  </si>
  <si>
    <t>Svaté Pole,,dolní</t>
  </si>
  <si>
    <t>Milevsko,,autobusové stanoviště</t>
  </si>
  <si>
    <t>Rumburk,Bytex 01</t>
  </si>
  <si>
    <t>Rumburk,Krásnolipská</t>
  </si>
  <si>
    <t>Varnsdorf,Studánka</t>
  </si>
  <si>
    <t>Nový Bor,Egermannova</t>
  </si>
  <si>
    <t>Česká Lípa,Častolovice,rozcestí</t>
  </si>
  <si>
    <t>Nový Bor,Pihel,pošta</t>
  </si>
  <si>
    <t>Chotovice,rozcestí</t>
  </si>
  <si>
    <t>Cvikov,autobusové stanoviště</t>
  </si>
  <si>
    <t>Svor,hlavní silnice</t>
  </si>
  <si>
    <t>Dubá,Nový Berštejn</t>
  </si>
  <si>
    <t>Vrchovany</t>
  </si>
  <si>
    <t>Dubá,Horky,odbočka</t>
  </si>
  <si>
    <t>Doksy,Zbyny,náves</t>
  </si>
  <si>
    <t>Doksy,Zbyny,křižovatka</t>
  </si>
  <si>
    <t>Skalka u Doks</t>
  </si>
  <si>
    <t>Doksy,Lipové náměstí</t>
  </si>
  <si>
    <t>Doksy,Mimoňská</t>
  </si>
  <si>
    <t>Doksy,Břehyně</t>
  </si>
  <si>
    <t>Doksy,Břehyně,II</t>
  </si>
  <si>
    <t>Ralsko,Hradčany</t>
  </si>
  <si>
    <t>Ralsko,Boreček</t>
  </si>
  <si>
    <t>Ralsko,Boreček,hájenka</t>
  </si>
  <si>
    <t>Mimoň,OPMP</t>
  </si>
  <si>
    <t>Mimoň,autobusové stanoviště</t>
  </si>
  <si>
    <t>Mimoň,Žitavská</t>
  </si>
  <si>
    <t>Noviny pod Ralskem</t>
  </si>
  <si>
    <t>Brniště,Luhov,křižovaka</t>
  </si>
  <si>
    <t>Stráž po Ralskem,autobusové stanoviště</t>
  </si>
  <si>
    <t>Stráž pod Ralskem,vlečka</t>
  </si>
  <si>
    <t>Jablonné v Podještědí,Postřelná,hlavní silnice</t>
  </si>
  <si>
    <t>Jablonné v Podještědí,autoservis</t>
  </si>
  <si>
    <t>Bsub</t>
  </si>
  <si>
    <t>Březnice,Sublima</t>
  </si>
  <si>
    <t>Bkov</t>
  </si>
  <si>
    <t>Březnice,KOVO</t>
  </si>
  <si>
    <t>Brzst</t>
  </si>
  <si>
    <t>Březnice,rozcestí k železniční stanici</t>
  </si>
  <si>
    <t>Březnice,Počápelská</t>
  </si>
  <si>
    <t>Březnice,ČZM</t>
  </si>
  <si>
    <t>Bpo</t>
  </si>
  <si>
    <t>BCZM</t>
  </si>
  <si>
    <t>VBzst</t>
  </si>
  <si>
    <t>Velký Bor,železniční zastávka</t>
  </si>
  <si>
    <t>!!! NAMLUVENO - JEN DISTRIBUOVAT S NOVOU DÁVKOU DAT DOPRAVCŮM !!!</t>
  </si>
  <si>
    <t>A1</t>
  </si>
  <si>
    <t>Vážení cestující, tento autobus vyčká v zastávce …</t>
  </si>
  <si>
    <t>… na pravidelný čas odjezdu dle jízdního řádu.</t>
  </si>
  <si>
    <t>A2</t>
  </si>
  <si>
    <t>A3</t>
  </si>
  <si>
    <t>Vážení cestující, vyčkáváme na přesný čas odjezdu dle jízdního řádu.</t>
  </si>
  <si>
    <t>Příští zastávka …</t>
  </si>
  <si>
    <t>H1, H001</t>
  </si>
  <si>
    <t>H2, H002</t>
  </si>
  <si>
    <t>Zastávka na znamení.</t>
  </si>
  <si>
    <t>H103</t>
  </si>
  <si>
    <t>Přestup na metro …</t>
  </si>
  <si>
    <t>H104</t>
  </si>
  <si>
    <t>H105</t>
  </si>
  <si>
    <t>H106</t>
  </si>
  <si>
    <t>H107</t>
  </si>
  <si>
    <t>... A.</t>
  </si>
  <si>
    <t>... B.</t>
  </si>
  <si>
    <t>... C.</t>
  </si>
  <si>
    <t>... A a B.</t>
  </si>
  <si>
    <t>H108</t>
  </si>
  <si>
    <t>... A a C.</t>
  </si>
  <si>
    <t>H109</t>
  </si>
  <si>
    <t>... B a C.</t>
  </si>
  <si>
    <t>H110</t>
  </si>
  <si>
    <t>Začátek …</t>
  </si>
  <si>
    <t>H111</t>
  </si>
  <si>
    <t>Konec …</t>
  </si>
  <si>
    <t>H112</t>
  </si>
  <si>
    <t>… tarifního pásma.</t>
  </si>
  <si>
    <t>H113</t>
  </si>
  <si>
    <t>Konečná zastávka …</t>
  </si>
  <si>
    <t>H114</t>
  </si>
  <si>
    <t>Prosíme vystupte.</t>
  </si>
  <si>
    <t>H115</t>
  </si>
  <si>
    <t>Upozornění pro cestující.</t>
  </si>
  <si>
    <t>H116</t>
  </si>
  <si>
    <t>Linka je z důvodu výluky vedena …</t>
  </si>
  <si>
    <t>H117</t>
  </si>
  <si>
    <t>… vlevo …</t>
  </si>
  <si>
    <t>H118</t>
  </si>
  <si>
    <t>… přímo …</t>
  </si>
  <si>
    <t>H119</t>
  </si>
  <si>
    <t>… vpravo …</t>
  </si>
  <si>
    <t>H120</t>
  </si>
  <si>
    <t>… po trase …</t>
  </si>
  <si>
    <t>H121</t>
  </si>
  <si>
    <t>… a dále po své trase …</t>
  </si>
  <si>
    <t>H122</t>
  </si>
  <si>
    <t>… a dále po lince …</t>
  </si>
  <si>
    <t>H123</t>
  </si>
  <si>
    <t>… do zastávky …</t>
  </si>
  <si>
    <t>H124</t>
  </si>
  <si>
    <t>… a v této zastávce ukončena.</t>
  </si>
  <si>
    <t>H125</t>
  </si>
  <si>
    <t>Náhradní autobusová doprava …</t>
  </si>
  <si>
    <t>H126</t>
  </si>
  <si>
    <t>… není zavedena.</t>
  </si>
  <si>
    <t>H127</t>
  </si>
  <si>
    <t>… je zavedena v úseku …</t>
  </si>
  <si>
    <t>H128</t>
  </si>
  <si>
    <t>Náhradní tramvajová doprava …</t>
  </si>
  <si>
    <t>H129</t>
  </si>
  <si>
    <t>Přestup na náhradní dopravu …</t>
  </si>
  <si>
    <t>H130</t>
  </si>
  <si>
    <t>… za linku …</t>
  </si>
  <si>
    <t>H132</t>
  </si>
  <si>
    <t>… za metro …</t>
  </si>
  <si>
    <t>H133</t>
  </si>
  <si>
    <t>Stanice metra ...</t>
  </si>
  <si>
    <t>H134</t>
  </si>
  <si>
    <t>… je uzavřena.</t>
  </si>
  <si>
    <t>H135</t>
  </si>
  <si>
    <t>Zastávka …</t>
  </si>
  <si>
    <t>H136</t>
  </si>
  <si>
    <t>… je zrušena.</t>
  </si>
  <si>
    <t>H137</t>
  </si>
  <si>
    <t>Označovač …</t>
  </si>
  <si>
    <t>H138</t>
  </si>
  <si>
    <t>… je nefunkční.</t>
  </si>
  <si>
    <t>H139</t>
  </si>
  <si>
    <t>V označovači …</t>
  </si>
  <si>
    <t>H140</t>
  </si>
  <si>
    <t>… je jízdenka.</t>
  </si>
  <si>
    <t>H141</t>
  </si>
  <si>
    <t>Zobrazovač …</t>
  </si>
  <si>
    <t>H142</t>
  </si>
  <si>
    <t>Nástup nebo výstup nevidomého.</t>
  </si>
  <si>
    <t>H143</t>
  </si>
  <si>
    <t>Nástup postiženého.</t>
  </si>
  <si>
    <t>H144</t>
  </si>
  <si>
    <t>Linka …</t>
  </si>
  <si>
    <t>H145</t>
  </si>
  <si>
    <t>Směr …</t>
  </si>
  <si>
    <t>H150</t>
  </si>
  <si>
    <t>Vážení cestující, omluvte prosím přerušení provozu metra …</t>
  </si>
  <si>
    <t>H151</t>
  </si>
  <si>
    <t>… v úseku …</t>
  </si>
  <si>
    <t>H152</t>
  </si>
  <si>
    <t>… na trase …</t>
  </si>
  <si>
    <t>H153</t>
  </si>
  <si>
    <t>Tato linka je prodloužena do stanice …</t>
  </si>
  <si>
    <t>H154</t>
  </si>
  <si>
    <t>Vážení cestující, tento autobus jede jako náhradní doprava za metro a zastavuje ve všech stanicích metra v přerušeném úseku.</t>
  </si>
  <si>
    <t>H155</t>
  </si>
  <si>
    <t>… odkud jezdí náhradní doprava.</t>
  </si>
  <si>
    <t>H156</t>
  </si>
  <si>
    <t>Náhradní autobusová linka jezdí obousměrně v trase …</t>
  </si>
  <si>
    <t>H157</t>
  </si>
  <si>
    <t>… a zastavuje ve všech stanicích metra v tomto úseku.</t>
  </si>
  <si>
    <t>H158</t>
  </si>
  <si>
    <t>V této zastávce je přestup na prodloužené pravidelné autobusové linky.</t>
  </si>
  <si>
    <t>H159</t>
  </si>
  <si>
    <t>Věnujte prosím pozornost organizaci povrchové dopravy.</t>
  </si>
  <si>
    <t>H160</t>
  </si>
  <si>
    <t>Děkujeme za pochopení.</t>
  </si>
  <si>
    <t>H161</t>
  </si>
  <si>
    <t>Z důvodu odklonu je následující zastávka zrušena.</t>
  </si>
  <si>
    <t>H162</t>
  </si>
  <si>
    <t>Linka je z důvodu neprůjezdnosti trasy dočasně zkrácena.</t>
  </si>
  <si>
    <t>H163</t>
  </si>
  <si>
    <t>Z důvodu neprůjezdnosti trasy je linka v této zastávce dočasně ukončena.</t>
  </si>
  <si>
    <t>H164</t>
  </si>
  <si>
    <t>Z důvodu neprůjezdnosti je linka vedena po odklonové trase.</t>
  </si>
  <si>
    <t>H165</t>
  </si>
  <si>
    <t>První spoj na lince.</t>
  </si>
  <si>
    <t>H166</t>
  </si>
  <si>
    <t>Poslední spoj na lince.</t>
  </si>
  <si>
    <t>H170</t>
  </si>
  <si>
    <t>Změna tarifního pásma.</t>
  </si>
  <si>
    <t>H171</t>
  </si>
  <si>
    <t>Linka je z důvodu výluky vedena po trase …</t>
  </si>
  <si>
    <t>H172</t>
  </si>
  <si>
    <t>Přestup na linku číslo …</t>
  </si>
  <si>
    <t>H173</t>
  </si>
  <si>
    <t>Přestup na autobusovou linku číslo …</t>
  </si>
  <si>
    <t>H174</t>
  </si>
  <si>
    <t>Přestup na tramvajovou linku číslo …</t>
  </si>
  <si>
    <t>H175</t>
  </si>
  <si>
    <t>Upozornění pro cestující, …</t>
  </si>
  <si>
    <t>H176</t>
  </si>
  <si>
    <t>… a dále po své trase.</t>
  </si>
  <si>
    <t>H177</t>
  </si>
  <si>
    <t>Linka je z důvodu výluky dále vedena přes zastávky …</t>
  </si>
  <si>
    <t>H178</t>
  </si>
  <si>
    <t>Prosím pozor, …</t>
  </si>
  <si>
    <t>H179</t>
  </si>
  <si>
    <t>Postupte prosím dále do vozu.</t>
  </si>
  <si>
    <t>H180</t>
  </si>
  <si>
    <t>Přestup na pravidelné tramvajové linky …</t>
  </si>
  <si>
    <t>H181</t>
  </si>
  <si>
    <t>Vozidlo obsazeno.</t>
  </si>
  <si>
    <t>H182</t>
  </si>
  <si>
    <t>Uvolněte prosím prostor předních dveří.</t>
  </si>
  <si>
    <t>H183</t>
  </si>
  <si>
    <t>Nástup předními dveřmi. Předložte prosím jízdní doklad.</t>
  </si>
  <si>
    <t>Zní jako stará nahrávka.</t>
  </si>
  <si>
    <t>H184</t>
  </si>
  <si>
    <t>Přestup na linky "S" a další vlakové spoje.</t>
  </si>
  <si>
    <t>H185</t>
  </si>
  <si>
    <t>… na linky "S" a další vlakové spoje.</t>
  </si>
  <si>
    <t>H186</t>
  </si>
  <si>
    <t>Vážení cestující, provoz metra je částečně přerušen. Použijte prosím autobusy náhradní dopravy "XB", které Vás dopraví k nejbližší stanici metra. Děkujeme za pochopení.</t>
  </si>
  <si>
    <t>H188</t>
  </si>
  <si>
    <t>Vážení cestující, z důvodu technické závady tento autobus dále nepokračuje. Přestupte prosím do přistaveného náhradního autobusu.</t>
  </si>
  <si>
    <t>H191</t>
  </si>
  <si>
    <t>Autous není určen pro přepravu cestujících.</t>
  </si>
  <si>
    <t>H193</t>
  </si>
  <si>
    <t>Příští zastávka je na znamení.</t>
  </si>
  <si>
    <t>H195</t>
  </si>
  <si>
    <t>Pozor, změna orientace.</t>
  </si>
  <si>
    <t>H196</t>
  </si>
  <si>
    <t>Pozor, manipulační přejezd.</t>
  </si>
  <si>
    <t>H197</t>
  </si>
  <si>
    <t>Pozor, manipulační přejezd a změna orientace.</t>
  </si>
  <si>
    <t>H200</t>
  </si>
  <si>
    <t>Prosíme …</t>
  </si>
  <si>
    <t>H201</t>
  </si>
  <si>
    <t>Vozidlo plně obsazeno. Vyčkejte prosím na další spoj.</t>
  </si>
  <si>
    <t>H202</t>
  </si>
  <si>
    <t>Vozidlo má poruchu …</t>
  </si>
  <si>
    <t>H203</t>
  </si>
  <si>
    <t>Vozidlo má poruchu. Vyčkjte prosím na další spoj …</t>
  </si>
  <si>
    <t>H204</t>
  </si>
  <si>
    <t>Vozídlo má poruchu. Prosíme vystupte a vyčkejte na další spoj …</t>
  </si>
  <si>
    <t>H205</t>
  </si>
  <si>
    <t>Prosíme, nastupujte předními dveřmi.</t>
  </si>
  <si>
    <t>H206</t>
  </si>
  <si>
    <t>Prosíme, uvolněte prostor předních dveří. Postupujte dále do vozu.</t>
  </si>
  <si>
    <t>H207</t>
  </si>
  <si>
    <t>Přepravní kontrola. Prosíme, připravte si cestovní doklady.</t>
  </si>
  <si>
    <t>H208</t>
  </si>
  <si>
    <t>Výstup pouze předními dveřmi, děkujeme Vám.</t>
  </si>
  <si>
    <t>H209</t>
  </si>
  <si>
    <t>Uvolněte prostor předních dveří, postupujte dále do vozu.</t>
  </si>
  <si>
    <t>H210</t>
  </si>
  <si>
    <t>Nenastupujte …</t>
  </si>
  <si>
    <t>H211</t>
  </si>
  <si>
    <t>Nenastupujte.</t>
  </si>
  <si>
    <t>H212</t>
  </si>
  <si>
    <t>H213</t>
  </si>
  <si>
    <t>Vozidlo má poruchu, prosíme vystupte.</t>
  </si>
  <si>
    <t>H214</t>
  </si>
  <si>
    <t>Vozidlo má poruchu, vyčkejte prosím na další spoj.</t>
  </si>
  <si>
    <t>H215</t>
  </si>
  <si>
    <t>Z důvodu neprůjezdnosti trasy je linka …</t>
  </si>
  <si>
    <t>H216</t>
  </si>
  <si>
    <t>… dočasně zkrácena.</t>
  </si>
  <si>
    <t>H217</t>
  </si>
  <si>
    <t>… v této zastávce dočasně ukončena.</t>
  </si>
  <si>
    <t>H218</t>
  </si>
  <si>
    <t>… vedena po odklonové trase.</t>
  </si>
  <si>
    <t>H219</t>
  </si>
  <si>
    <t>Děkujeme Vám.</t>
  </si>
  <si>
    <t>H220</t>
  </si>
  <si>
    <t>Výstup pouze předními dveřmi.</t>
  </si>
  <si>
    <t>H221</t>
  </si>
  <si>
    <t>Nebyla vyhlášena …</t>
  </si>
  <si>
    <t>H222</t>
  </si>
  <si>
    <t>… počáteční …</t>
  </si>
  <si>
    <t>H223</t>
  </si>
  <si>
    <t>… poslední …</t>
  </si>
  <si>
    <t>H224</t>
  </si>
  <si>
    <t>… zastávka spoje.</t>
  </si>
  <si>
    <t>H225</t>
  </si>
  <si>
    <t>Zastávka nebyla vyhlášena.</t>
  </si>
  <si>
    <t>H226</t>
  </si>
  <si>
    <t>Zastávka nebyla dosud vyhlášena.</t>
  </si>
  <si>
    <t>H227</t>
  </si>
  <si>
    <t>Výstup pouze předními dveřmi. Děkujeme Vám.</t>
  </si>
  <si>
    <t>H228</t>
  </si>
  <si>
    <t>Prosíme uvolněte prostor všech dveří. Děkujeme.</t>
  </si>
  <si>
    <t>H230</t>
  </si>
  <si>
    <t>Spoj dále pokračuje jako linka "ČSAD" směr …</t>
  </si>
  <si>
    <t>Spoj dále pokračuje jako linka PID směr …</t>
  </si>
  <si>
    <t>H232</t>
  </si>
  <si>
    <t>Spoj je dále veden přes zastávku …</t>
  </si>
  <si>
    <t>H233</t>
  </si>
  <si>
    <t>Spoj dále pokračuje jako linka "ČSAD".</t>
  </si>
  <si>
    <t>H234</t>
  </si>
  <si>
    <t>Spoj dále pokračuje jako linka PID.</t>
  </si>
  <si>
    <t>H235</t>
  </si>
  <si>
    <t>Spoj dále pokračuje jako linka …</t>
  </si>
  <si>
    <t>H239</t>
  </si>
  <si>
    <t>Žádáme cestující, aby neodkládali svá zavazadla na sedadla.</t>
  </si>
  <si>
    <t>H240</t>
  </si>
  <si>
    <t>Vážení cestující, uvolněte prosím prostor pro kočárek. Děkujeme.</t>
  </si>
  <si>
    <t>H241</t>
  </si>
  <si>
    <t>Uvolněte prostor pro invalidní vozík.</t>
  </si>
  <si>
    <t>H243</t>
  </si>
  <si>
    <t>Tento autobus zde končí, nenastupujte prosím.</t>
  </si>
  <si>
    <t>Malinko v nahrávce praská.</t>
  </si>
  <si>
    <t>H260</t>
  </si>
  <si>
    <t>Vážení cestující, uvolněte prosím prostor pro invalidní vozík. Děkujeme.</t>
  </si>
  <si>
    <t>H274</t>
  </si>
  <si>
    <t>Přestup na přívoz.</t>
  </si>
  <si>
    <t>H279</t>
  </si>
  <si>
    <t>Vážení cestující, z důvodvodu silné automobilové dopravy pojede tato linka odklonem.</t>
  </si>
  <si>
    <t>H280</t>
  </si>
  <si>
    <t>Vážení cestující, omlouváme se za zpoždění linky, které je zapříčiněno silnou individuální dopravou a špatnou průjezdností trasy.</t>
  </si>
  <si>
    <t>H281</t>
  </si>
  <si>
    <t>Zastávka pouze pro nástup.</t>
  </si>
  <si>
    <t>H282</t>
  </si>
  <si>
    <t>H283</t>
  </si>
  <si>
    <t>Zastávka pouze pro výstup.</t>
  </si>
  <si>
    <t>H284</t>
  </si>
  <si>
    <t>Vyčkáváme na vzájemný přestup.</t>
  </si>
  <si>
    <t>H285</t>
  </si>
  <si>
    <t>Vážení cestující, vyčkáváme na vzájemný přestup v rámci čekací doby.</t>
  </si>
  <si>
    <t>H300</t>
  </si>
  <si>
    <t>Přestup na vlak.</t>
  </si>
  <si>
    <t>H301</t>
  </si>
  <si>
    <t>Možnost přestupu na železnici.</t>
  </si>
  <si>
    <t>H302</t>
  </si>
  <si>
    <t>Možnost přestupu na vlak …</t>
  </si>
  <si>
    <t>H305</t>
  </si>
  <si>
    <t>H306</t>
  </si>
  <si>
    <t>Upozornění pro cestující. Vyčkáváme na přestup z vlakové linky "S" dle stanovené čekací doby. Děkujeme za pochopení.</t>
  </si>
  <si>
    <t>H318</t>
  </si>
  <si>
    <t>Pozor, poznámka ve vozovém jízdním řádu.</t>
  </si>
  <si>
    <t>H330</t>
  </si>
  <si>
    <t>První zastávka tarifního pásma …</t>
  </si>
  <si>
    <t>H331</t>
  </si>
  <si>
    <t>Poslední zastávka tarifního pásma …</t>
  </si>
  <si>
    <t>H336</t>
  </si>
  <si>
    <t>Upozornění pro cestující, linka je z důvodu výluky v úseku Dolnoměcholupská - Průmstav vedena po odklonové trase do zastávky Skalka.</t>
  </si>
  <si>
    <t>H339</t>
  </si>
  <si>
    <t>Upozorňujeme cestující, že pokládat zavazadla na sedadla na sedadla není dovoleno.</t>
  </si>
  <si>
    <t>H340</t>
  </si>
  <si>
    <t>Upozorňujeme cestující, že konzumace potravin není ve vozidlech MHD povolena.</t>
  </si>
  <si>
    <t>H350</t>
  </si>
  <si>
    <t>Vážení cestující, pro správnou funkčnost klimatizace v tomto vozidle, která je nyní v provozu, prosíme neotevírejte boční okna ani stropní poklopy. Děkujeme Vám za pochopení.</t>
  </si>
  <si>
    <t>H360</t>
  </si>
  <si>
    <t>V této zastávce dochází ke změně tarifního systému.</t>
  </si>
  <si>
    <t>H361</t>
  </si>
  <si>
    <t>Změna tarifního systému.</t>
  </si>
  <si>
    <t>H362</t>
  </si>
  <si>
    <t>Prosím pozor, změna tarifního systému.</t>
  </si>
  <si>
    <t>H400</t>
  </si>
  <si>
    <t>Náhradní autobusová doprava za České dráhy.</t>
  </si>
  <si>
    <t>H417</t>
  </si>
  <si>
    <t>Vozidlo plně obsazeno. Vyčkejte prosím na další spoj. Děkujeme za pochopení.</t>
  </si>
  <si>
    <t>H500</t>
  </si>
  <si>
    <t>Tento spoj …</t>
  </si>
  <si>
    <t>H602</t>
  </si>
  <si>
    <t>Tato linka …</t>
  </si>
  <si>
    <t>H603</t>
  </si>
  <si>
    <t>… nejede přes …</t>
  </si>
  <si>
    <t>H604</t>
  </si>
  <si>
    <t>… zastávku …</t>
  </si>
  <si>
    <t>H605</t>
  </si>
  <si>
    <t>… zastávky …</t>
  </si>
  <si>
    <t>H606</t>
  </si>
  <si>
    <t>… nezajíždí do …</t>
  </si>
  <si>
    <t>H613</t>
  </si>
  <si>
    <t>Terminus</t>
  </si>
  <si>
    <t>H614</t>
  </si>
  <si>
    <t>Please exit the bus.</t>
  </si>
  <si>
    <t>H647</t>
  </si>
  <si>
    <t>Upozornění pro cestující, tento spoj končí v zastávce …</t>
  </si>
  <si>
    <t>H648</t>
  </si>
  <si>
    <t>Upozornění pro cestující, tento spoj končí v zastávce Buš.</t>
  </si>
  <si>
    <t>H649</t>
  </si>
  <si>
    <t>Upozornění pro cestující, linka není vedena do zastávky Rudná,Hořelice.</t>
  </si>
  <si>
    <t>H650</t>
  </si>
  <si>
    <t>Upozornění pro cestující, linka není vedena přes zastávky Odolena Voda,U klubu, Odolena Voda,Dolní náměstí.</t>
  </si>
  <si>
    <t>H651</t>
  </si>
  <si>
    <t>Upozornění pro cestující, linka není vedena přes zastávky Odolena Voda,Dolní náměstí, Odolena Voda,U školy.</t>
  </si>
  <si>
    <t>H652</t>
  </si>
  <si>
    <t>Přestup na linku číslo 446 směr Kytín.</t>
  </si>
  <si>
    <t>H653</t>
  </si>
  <si>
    <t>Přestup na linku číslo 317.</t>
  </si>
  <si>
    <t>H701</t>
  </si>
  <si>
    <t>H702</t>
  </si>
  <si>
    <t>Žádáme cestující, aby do přepravního prostoru vstupovali pouze se zakrytým nosem a ústy. Děkujeme za ohleduplnost.</t>
  </si>
  <si>
    <t>H703</t>
  </si>
  <si>
    <t>Vážení cestující, prosíme Vás, pro nástup a výstup do vozidla nepoužívejte přední dveře. Děkujeme za pochopení.</t>
  </si>
  <si>
    <t>H704</t>
  </si>
  <si>
    <t>Děkujeme, že při nástupu do vozidla používáte roušky či jiné prostředky pro zakrytí úst a nosu.</t>
  </si>
  <si>
    <t>H705</t>
  </si>
  <si>
    <t>Nástup předními dveřmi. Prosím předložte jízdní doklad nebo si jej zakupte u řidiče.</t>
  </si>
  <si>
    <t>H714</t>
  </si>
  <si>
    <t>Pravidelný odjezd za …</t>
  </si>
  <si>
    <t>H800</t>
  </si>
  <si>
    <t>Vážení cestující. Vlakem i autobusem nyní můžete cestovat na jednu jízdenku a s předplatnými kupony je to ještě levnější.</t>
  </si>
  <si>
    <t>H999</t>
  </si>
  <si>
    <t>Zkontroluj zadanaou službu.</t>
  </si>
  <si>
    <t>Mužský hlas. V nahrávce praská.</t>
  </si>
  <si>
    <t>Ženská i mužská varianta</t>
  </si>
  <si>
    <t>Syntéza.</t>
  </si>
  <si>
    <t>S0000</t>
  </si>
  <si>
    <t>Zkouška nastavení hlasitosti</t>
  </si>
  <si>
    <t>H310</t>
  </si>
  <si>
    <t>H311</t>
  </si>
  <si>
    <t>Vážení cestující, žádáme o přednostní nástup cestujících se zakoupenou místenkou. Děkujeme.</t>
  </si>
  <si>
    <t>Vážení cestující, prosíme nejprve o nástup cestujících s platnou místenkou. Děkujeme.</t>
  </si>
  <si>
    <r>
      <t>Vážení cestující, pro snížení rizika nákazy koronavirem Covid-19 Vás žádáme, abyste s</t>
    </r>
    <r>
      <rPr>
        <sz val="12"/>
        <color indexed="10"/>
        <rFont val="Segoe UI"/>
        <family val="2"/>
        <charset val="238"/>
      </rPr>
      <t>i</t>
    </r>
    <r>
      <rPr>
        <sz val="12"/>
        <rFont val="Segoe UI"/>
        <family val="2"/>
        <charset val="238"/>
      </rPr>
      <t xml:space="preserve"> v dopravním prostředku, pokud to obsazenost umožňuje, posadili. Pokud musíte stát, prosíme Vás, abyste se pokud možno drželi svislých zádržných tyčí předloktím a nechávali mezi sebou prostor alespoň jeden metr. Děkujeme za Vaší ohleduplnost k ostatním cestujícím.</t>
    </r>
  </si>
  <si>
    <t>type</t>
  </si>
  <si>
    <t>text</t>
  </si>
  <si>
    <t>mp3</t>
  </si>
  <si>
    <t>Air</t>
  </si>
  <si>
    <t>Bus</t>
  </si>
  <si>
    <t>Congestion</t>
  </si>
  <si>
    <t>Diversion</t>
  </si>
  <si>
    <t>Exclamation</t>
  </si>
  <si>
    <t>Ferry</t>
  </si>
  <si>
    <t>Funicular</t>
  </si>
  <si>
    <t>GoFurther</t>
  </si>
  <si>
    <t>Info</t>
  </si>
  <si>
    <t>Luggage</t>
  </si>
  <si>
    <t>Night</t>
  </si>
  <si>
    <t>NoFood</t>
  </si>
  <si>
    <t>Pid</t>
  </si>
  <si>
    <t>Pram</t>
  </si>
  <si>
    <t>ReplacementStop</t>
  </si>
  <si>
    <t>Telecabin</t>
  </si>
  <si>
    <t>Train</t>
  </si>
  <si>
    <t>Tram</t>
  </si>
  <si>
    <t>Trolleybus</t>
  </si>
  <si>
    <t>UndergroundA</t>
  </si>
  <si>
    <t>UndergroundB</t>
  </si>
  <si>
    <t>UndergroundC</t>
  </si>
  <si>
    <t>UndergroundD</t>
  </si>
  <si>
    <t>WheelChair</t>
  </si>
  <si>
    <t>displayName</t>
  </si>
  <si>
    <t>icon</t>
  </si>
  <si>
    <t>changeFrom</t>
  </si>
  <si>
    <t>changeTo</t>
  </si>
  <si>
    <t>XS2</t>
  </si>
  <si>
    <t>duration</t>
  </si>
  <si>
    <t>c_Accessible</t>
  </si>
  <si>
    <t>c_Air</t>
  </si>
  <si>
    <t>c_Bus</t>
  </si>
  <si>
    <t>c_Congestion</t>
  </si>
  <si>
    <t>c_Diversion</t>
  </si>
  <si>
    <t>c_Exclamation</t>
  </si>
  <si>
    <t>c_Ferry</t>
  </si>
  <si>
    <t>c_Funicular</t>
  </si>
  <si>
    <t>c_GoFurther</t>
  </si>
  <si>
    <t>c_Children</t>
  </si>
  <si>
    <t>c_Info</t>
  </si>
  <si>
    <t>c_Luggage</t>
  </si>
  <si>
    <t>c_Night</t>
  </si>
  <si>
    <t>c_NightInv</t>
  </si>
  <si>
    <t>c_NoFood</t>
  </si>
  <si>
    <t>c_NoFoodInv</t>
  </si>
  <si>
    <t>c_Pid</t>
  </si>
  <si>
    <t>c_Pram</t>
  </si>
  <si>
    <t>c_ReplacementService</t>
  </si>
  <si>
    <t>c_RequestStop</t>
  </si>
  <si>
    <t>c_RequestStopInv</t>
  </si>
  <si>
    <t>c_SBahn</t>
  </si>
  <si>
    <t>c_Train</t>
  </si>
  <si>
    <t>c_TrainEnd</t>
  </si>
  <si>
    <t>c_Tram</t>
  </si>
  <si>
    <t>c_Trolleybus</t>
  </si>
  <si>
    <t>c_UndergroundA</t>
  </si>
  <si>
    <t>c_UndergroundB</t>
  </si>
  <si>
    <t>c_UndergroundC</t>
  </si>
  <si>
    <t>c_UndergroundD</t>
  </si>
  <si>
    <t>c_WheelChair</t>
  </si>
  <si>
    <r>
      <t>c_WheelChairLine</t>
    </r>
    <r>
      <rPr>
        <sz val="11"/>
        <color rgb="FF000000"/>
        <rFont val="Alwyn New Rg"/>
        <family val="2"/>
      </rPr>
      <t xml:space="preserve"> </t>
    </r>
  </si>
  <si>
    <t>c_ReplacementStop</t>
  </si>
  <si>
    <t>&amp;lt;icon type=&amp;quot;</t>
  </si>
  <si>
    <t>&amp;quot;&amp;gt;&amp;lt;/icon&amp;gt;</t>
  </si>
  <si>
    <t>x</t>
  </si>
  <si>
    <t>i</t>
  </si>
  <si>
    <t>stejné jako nofood</t>
  </si>
  <si>
    <t>nic</t>
  </si>
  <si>
    <t>&lt;/Value&gt;
     &lt;/StopIndex&gt;
     &lt;StopRef&gt;
      &lt;Value&gt;97_3&lt;/Value&gt;
     &lt;/StopRef&gt;
     &lt;GlobalStopRef&gt;
      &lt;Value&gt;55186&lt;/Value&gt;
     &lt;/GlobalStopRef&gt;
     &lt;StopName&gt;
      &lt;Value&gt;</t>
  </si>
  <si>
    <t>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t>
  </si>
  <si>
    <t>&lt;?xml version="1.0" encoding="utf-8" ?&gt;
&lt;CustomerInformationService.GetAllDataResponse&gt;
 &lt;AllData&gt;
  &lt;TimeStamp&gt;
   &lt;Value&gt;2025-04-29T14:42:47&lt;/Value&gt;
  &lt;/TimeStamp&gt;
  &lt;VehicleRef&gt;
   &lt;Value&gt;1234&lt;/Value&gt;
  &lt;/VehicleRef&gt;
  &lt;DefaultLanguage&gt;
   &lt;Value&gt;cs&lt;/Value&gt;
  &lt;/DefaultLanguage&gt;
  &lt;TripInformation&gt;
   &lt;TripRef&gt;
    &lt;Value&gt;1036&lt;/Value&gt;
   &lt;/TripRef&gt;
   &lt;StopSequence&gt;</t>
  </si>
  <si>
    <t>&lt;/StopSequence&gt;
&lt;LocationState&gt;AtStop&lt;/LocationState&gt;
&lt;RunNumber&gt;
 &lt;Value&gt;110_2&lt;/Value&gt;
&lt;/RunNumber&gt;
&lt;/TripInformation&gt;
&lt;CurrentStopIndex&gt;
&lt;Value&gt;1&lt;/Value&gt;
&lt;/CurrentStopIndex&gt;
&lt;RouteDeviation&gt;onroute&lt;/RouteDeviation&gt;
&lt;DoorState&gt;AllDoorsClosed&lt;/DoorState&gt;
&lt;VehicleStopRequested&gt;
&lt;Value&gt;0&lt;/Value&gt;
&lt;/VehicleStopRequested&gt;
&lt;ExitSide&gt;right&lt;/ExitSide&gt;
&lt;MyOwnVehicleMode&gt;
&lt;PtMainMode&gt;BusSubmode&lt;/PtMainMode&gt;
&lt;BusSubmode&gt;regionalBus&lt;/BusSubmode&gt;
&lt;/MyOwnVehicleMode&gt;
&lt;/AllData&gt;
&lt;/CustomerInformationService.GetAllDataResponse&gt;</t>
  </si>
  <si>
    <t xml:space="preserve">  &lt;StopPoint&gt;
     &lt;StopIndex&gt;
      &lt;Value&gt;</t>
  </si>
  <si>
    <t>c</t>
  </si>
  <si>
    <t>?</t>
  </si>
  <si>
    <t>announcement</t>
  </si>
  <si>
    <t>stopName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</si>
</sst>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charset val="238"/>
    </font>
    <font>
      <b/>
      <sz val="12"/>
      <name val="Times New Roman CE"/>
      <family val="1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b/>
      <sz val="12"/>
      <name val="Arial"/>
      <family val="2"/>
      <charset val="238"/>
    </font>
    <font>
      <sz val="10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2"/>
      <name val="Times New Roman CE"/>
      <charset val="238"/>
    </font>
    <font>
      <b/>
      <sz val="12"/>
      <name val="Times New Roman"/>
      <family val="1"/>
      <charset val="238"/>
    </font>
    <font>
      <b/>
      <sz val="11"/>
      <color theme="0"/>
      <name val="Times New Roman"/>
      <family val="1"/>
      <charset val="238"/>
    </font>
    <font>
      <sz val="10"/>
      <name val="Segoe UI"/>
      <family val="2"/>
      <charset val="238"/>
    </font>
    <font>
      <sz val="12"/>
      <name val="Segoe UI"/>
      <family val="2"/>
      <charset val="238"/>
    </font>
    <font>
      <sz val="12"/>
      <color indexed="10"/>
      <name val="Segoe UI"/>
      <family val="2"/>
      <charset val="238"/>
    </font>
    <font>
      <b/>
      <sz val="11"/>
      <color rgb="FF000000"/>
      <name val="Alwyn New Rg"/>
      <family val="2"/>
    </font>
    <font>
      <sz val="11"/>
      <color rgb="FF000000"/>
      <name val="Alwyn New Rg"/>
      <family val="2"/>
    </font>
    <font>
      <sz val="8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0" fillId="2" borderId="1" xfId="0" applyFont="1" applyFill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11" fillId="2" borderId="1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9" fillId="3" borderId="0" xfId="0" applyFont="1" applyFill="1" applyAlignment="1">
      <alignment horizontal="center" vertical="center"/>
    </xf>
  </cellXfs>
  <cellStyles count="2">
    <cellStyle name="Normální" xfId="0" builtinId="0"/>
    <cellStyle name="Normální 2" xfId="1" xr:uid="{00000000-0005-0000-0000-000001000000}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605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iftab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79"/>
  <sheetViews>
    <sheetView zoomScale="85" zoomScaleNormal="85" workbookViewId="0">
      <pane ySplit="1" topLeftCell="A54" activePane="bottomLeft" state="frozen"/>
      <selection pane="bottomLeft" activeCell="B75" sqref="B75"/>
    </sheetView>
  </sheetViews>
  <sheetFormatPr defaultRowHeight="15.75" x14ac:dyDescent="0.25"/>
  <cols>
    <col min="1" max="1" width="10.7109375" style="10" bestFit="1" customWidth="1"/>
    <col min="2" max="2" width="141.85546875" style="9" customWidth="1"/>
    <col min="3" max="3" width="10.140625" style="5" bestFit="1" customWidth="1"/>
    <col min="4" max="16384" width="9.140625" style="5"/>
  </cols>
  <sheetData>
    <row r="1" spans="1:3" customFormat="1" ht="18" thickBot="1" x14ac:dyDescent="0.3">
      <c r="A1" s="15" t="s">
        <v>0</v>
      </c>
      <c r="B1" s="12" t="s">
        <v>1</v>
      </c>
      <c r="C1" s="11" t="s">
        <v>3</v>
      </c>
    </row>
    <row r="2" spans="1:3" customFormat="1" ht="17.25" x14ac:dyDescent="0.3">
      <c r="A2" s="13" t="s">
        <v>163</v>
      </c>
      <c r="B2" s="14" t="s">
        <v>164</v>
      </c>
      <c r="C2" s="11"/>
    </row>
    <row r="3" spans="1:3" customFormat="1" ht="17.25" x14ac:dyDescent="0.3">
      <c r="A3" s="13" t="s">
        <v>166</v>
      </c>
      <c r="B3" s="14" t="s">
        <v>165</v>
      </c>
      <c r="C3" s="11"/>
    </row>
    <row r="4" spans="1:3" ht="17.25" x14ac:dyDescent="0.3">
      <c r="A4" s="13" t="s">
        <v>167</v>
      </c>
      <c r="B4" s="14" t="s">
        <v>168</v>
      </c>
      <c r="C4" s="11"/>
    </row>
    <row r="5" spans="1:3" ht="17.25" x14ac:dyDescent="0.3">
      <c r="A5" s="13" t="s">
        <v>170</v>
      </c>
      <c r="B5" s="14" t="s">
        <v>169</v>
      </c>
      <c r="C5" s="11"/>
    </row>
    <row r="6" spans="1:3" ht="17.25" x14ac:dyDescent="0.3">
      <c r="A6" s="13" t="s">
        <v>171</v>
      </c>
      <c r="B6" s="14" t="s">
        <v>172</v>
      </c>
      <c r="C6" s="11"/>
    </row>
    <row r="7" spans="1:3" ht="17.25" x14ac:dyDescent="0.3">
      <c r="A7" s="13" t="s">
        <v>173</v>
      </c>
      <c r="B7" s="14" t="s">
        <v>174</v>
      </c>
      <c r="C7" s="11"/>
    </row>
    <row r="8" spans="1:3" ht="17.25" x14ac:dyDescent="0.3">
      <c r="A8" s="13" t="s">
        <v>175</v>
      </c>
      <c r="B8" s="14" t="s">
        <v>179</v>
      </c>
      <c r="C8" s="11"/>
    </row>
    <row r="9" spans="1:3" ht="17.25" x14ac:dyDescent="0.3">
      <c r="A9" s="13" t="s">
        <v>176</v>
      </c>
      <c r="B9" s="14" t="s">
        <v>180</v>
      </c>
      <c r="C9" s="11"/>
    </row>
    <row r="10" spans="1:3" ht="17.25" x14ac:dyDescent="0.3">
      <c r="A10" s="13" t="s">
        <v>177</v>
      </c>
      <c r="B10" s="14" t="s">
        <v>181</v>
      </c>
      <c r="C10" s="11"/>
    </row>
    <row r="11" spans="1:3" ht="17.25" x14ac:dyDescent="0.3">
      <c r="A11" s="13" t="s">
        <v>178</v>
      </c>
      <c r="B11" s="14" t="s">
        <v>182</v>
      </c>
      <c r="C11" s="11"/>
    </row>
    <row r="12" spans="1:3" ht="17.25" x14ac:dyDescent="0.3">
      <c r="A12" s="13" t="s">
        <v>183</v>
      </c>
      <c r="B12" s="14" t="s">
        <v>184</v>
      </c>
      <c r="C12" s="11"/>
    </row>
    <row r="13" spans="1:3" ht="17.25" x14ac:dyDescent="0.3">
      <c r="A13" s="13" t="s">
        <v>185</v>
      </c>
      <c r="B13" s="14" t="s">
        <v>186</v>
      </c>
      <c r="C13" s="11"/>
    </row>
    <row r="14" spans="1:3" ht="17.25" x14ac:dyDescent="0.3">
      <c r="A14" s="13" t="s">
        <v>187</v>
      </c>
      <c r="B14" s="14" t="s">
        <v>188</v>
      </c>
      <c r="C14" s="11"/>
    </row>
    <row r="15" spans="1:3" ht="17.25" x14ac:dyDescent="0.3">
      <c r="A15" s="13" t="s">
        <v>189</v>
      </c>
      <c r="B15" s="14" t="s">
        <v>190</v>
      </c>
      <c r="C15" s="11"/>
    </row>
    <row r="16" spans="1:3" ht="17.25" x14ac:dyDescent="0.3">
      <c r="A16" s="13" t="s">
        <v>191</v>
      </c>
      <c r="B16" s="14" t="s">
        <v>192</v>
      </c>
      <c r="C16" s="11"/>
    </row>
    <row r="17" spans="1:3" ht="17.25" x14ac:dyDescent="0.3">
      <c r="A17" s="13" t="s">
        <v>193</v>
      </c>
      <c r="B17" s="14" t="s">
        <v>194</v>
      </c>
      <c r="C17" s="11"/>
    </row>
    <row r="18" spans="1:3" ht="17.25" x14ac:dyDescent="0.3">
      <c r="A18" s="13" t="s">
        <v>195</v>
      </c>
      <c r="B18" s="14" t="s">
        <v>196</v>
      </c>
      <c r="C18" s="11"/>
    </row>
    <row r="19" spans="1:3" ht="17.25" x14ac:dyDescent="0.3">
      <c r="A19" s="13" t="s">
        <v>197</v>
      </c>
      <c r="B19" s="14" t="s">
        <v>198</v>
      </c>
      <c r="C19" s="11"/>
    </row>
    <row r="20" spans="1:3" ht="17.25" x14ac:dyDescent="0.3">
      <c r="A20" s="13" t="s">
        <v>199</v>
      </c>
      <c r="B20" s="14" t="s">
        <v>200</v>
      </c>
      <c r="C20" s="11"/>
    </row>
    <row r="21" spans="1:3" ht="17.25" x14ac:dyDescent="0.3">
      <c r="A21" s="13" t="s">
        <v>201</v>
      </c>
      <c r="B21" s="14" t="s">
        <v>202</v>
      </c>
      <c r="C21" s="11"/>
    </row>
    <row r="22" spans="1:3" ht="17.25" x14ac:dyDescent="0.3">
      <c r="A22" s="13" t="s">
        <v>203</v>
      </c>
      <c r="B22" s="14" t="s">
        <v>204</v>
      </c>
      <c r="C22" s="11"/>
    </row>
    <row r="23" spans="1:3" ht="17.25" x14ac:dyDescent="0.3">
      <c r="A23" s="13" t="s">
        <v>205</v>
      </c>
      <c r="B23" s="14" t="s">
        <v>206</v>
      </c>
      <c r="C23" s="11"/>
    </row>
    <row r="24" spans="1:3" ht="17.25" x14ac:dyDescent="0.3">
      <c r="A24" s="13" t="s">
        <v>207</v>
      </c>
      <c r="B24" s="14" t="s">
        <v>208</v>
      </c>
      <c r="C24" s="11"/>
    </row>
    <row r="25" spans="1:3" ht="17.25" x14ac:dyDescent="0.3">
      <c r="A25" s="13" t="s">
        <v>209</v>
      </c>
      <c r="B25" s="14" t="s">
        <v>210</v>
      </c>
      <c r="C25" s="11"/>
    </row>
    <row r="26" spans="1:3" ht="17.25" x14ac:dyDescent="0.3">
      <c r="A26" s="13" t="s">
        <v>211</v>
      </c>
      <c r="B26" s="14" t="s">
        <v>212</v>
      </c>
      <c r="C26" s="11"/>
    </row>
    <row r="27" spans="1:3" ht="17.25" x14ac:dyDescent="0.3">
      <c r="A27" s="13" t="s">
        <v>213</v>
      </c>
      <c r="B27" s="14" t="s">
        <v>214</v>
      </c>
      <c r="C27" s="11"/>
    </row>
    <row r="28" spans="1:3" ht="17.25" x14ac:dyDescent="0.3">
      <c r="A28" s="13" t="s">
        <v>215</v>
      </c>
      <c r="B28" s="14" t="s">
        <v>216</v>
      </c>
      <c r="C28" s="11"/>
    </row>
    <row r="29" spans="1:3" ht="17.25" x14ac:dyDescent="0.3">
      <c r="A29" s="13" t="s">
        <v>217</v>
      </c>
      <c r="B29" s="14" t="s">
        <v>218</v>
      </c>
      <c r="C29" s="11"/>
    </row>
    <row r="30" spans="1:3" ht="17.25" x14ac:dyDescent="0.3">
      <c r="A30" s="13" t="s">
        <v>219</v>
      </c>
      <c r="B30" s="14" t="s">
        <v>220</v>
      </c>
      <c r="C30" s="11"/>
    </row>
    <row r="31" spans="1:3" ht="17.25" x14ac:dyDescent="0.3">
      <c r="A31" s="13" t="s">
        <v>221</v>
      </c>
      <c r="B31" s="14" t="s">
        <v>222</v>
      </c>
      <c r="C31" s="11"/>
    </row>
    <row r="32" spans="1:3" ht="17.25" x14ac:dyDescent="0.3">
      <c r="A32" s="13" t="s">
        <v>223</v>
      </c>
      <c r="B32" s="14" t="s">
        <v>224</v>
      </c>
      <c r="C32" s="11"/>
    </row>
    <row r="33" spans="1:3" ht="17.25" x14ac:dyDescent="0.3">
      <c r="A33" s="13" t="s">
        <v>225</v>
      </c>
      <c r="B33" s="14" t="s">
        <v>226</v>
      </c>
      <c r="C33" s="11"/>
    </row>
    <row r="34" spans="1:3" ht="17.25" x14ac:dyDescent="0.3">
      <c r="A34" s="13" t="s">
        <v>227</v>
      </c>
      <c r="B34" s="14" t="s">
        <v>228</v>
      </c>
      <c r="C34" s="11"/>
    </row>
    <row r="35" spans="1:3" ht="17.25" x14ac:dyDescent="0.3">
      <c r="A35" s="13" t="s">
        <v>229</v>
      </c>
      <c r="B35" s="14" t="s">
        <v>230</v>
      </c>
      <c r="C35" s="11"/>
    </row>
    <row r="36" spans="1:3" ht="17.25" x14ac:dyDescent="0.3">
      <c r="A36" s="13" t="s">
        <v>231</v>
      </c>
      <c r="B36" s="14" t="s">
        <v>232</v>
      </c>
      <c r="C36" s="11"/>
    </row>
    <row r="37" spans="1:3" ht="17.25" x14ac:dyDescent="0.3">
      <c r="A37" s="13" t="s">
        <v>233</v>
      </c>
      <c r="B37" s="14" t="s">
        <v>234</v>
      </c>
      <c r="C37" s="11"/>
    </row>
    <row r="38" spans="1:3" ht="17.25" x14ac:dyDescent="0.3">
      <c r="A38" s="13" t="s">
        <v>235</v>
      </c>
      <c r="B38" s="14" t="s">
        <v>236</v>
      </c>
      <c r="C38" s="11"/>
    </row>
    <row r="39" spans="1:3" ht="17.25" x14ac:dyDescent="0.3">
      <c r="A39" s="13" t="s">
        <v>237</v>
      </c>
      <c r="B39" s="14" t="s">
        <v>238</v>
      </c>
      <c r="C39" s="11"/>
    </row>
    <row r="40" spans="1:3" ht="17.25" x14ac:dyDescent="0.3">
      <c r="A40" s="13" t="s">
        <v>239</v>
      </c>
      <c r="B40" s="14" t="s">
        <v>240</v>
      </c>
      <c r="C40" s="11"/>
    </row>
    <row r="41" spans="1:3" ht="17.25" x14ac:dyDescent="0.3">
      <c r="A41" s="13" t="s">
        <v>241</v>
      </c>
      <c r="B41" s="14" t="s">
        <v>242</v>
      </c>
      <c r="C41" s="11"/>
    </row>
    <row r="42" spans="1:3" ht="17.25" x14ac:dyDescent="0.3">
      <c r="A42" s="13" t="s">
        <v>243</v>
      </c>
      <c r="B42" s="14" t="s">
        <v>244</v>
      </c>
      <c r="C42" s="11"/>
    </row>
    <row r="43" spans="1:3" ht="17.25" x14ac:dyDescent="0.3">
      <c r="A43" s="13" t="s">
        <v>245</v>
      </c>
      <c r="B43" s="14" t="s">
        <v>246</v>
      </c>
      <c r="C43" s="11"/>
    </row>
    <row r="44" spans="1:3" ht="17.25" x14ac:dyDescent="0.3">
      <c r="A44" s="13" t="s">
        <v>247</v>
      </c>
      <c r="B44" s="14" t="s">
        <v>248</v>
      </c>
      <c r="C44" s="11"/>
    </row>
    <row r="45" spans="1:3" ht="17.25" x14ac:dyDescent="0.3">
      <c r="A45" s="13" t="s">
        <v>249</v>
      </c>
      <c r="B45" s="14" t="s">
        <v>250</v>
      </c>
      <c r="C45" s="11"/>
    </row>
    <row r="46" spans="1:3" ht="17.25" x14ac:dyDescent="0.3">
      <c r="A46" s="13" t="s">
        <v>251</v>
      </c>
      <c r="B46" s="14" t="s">
        <v>252</v>
      </c>
      <c r="C46" s="11"/>
    </row>
    <row r="47" spans="1:3" ht="17.25" x14ac:dyDescent="0.3">
      <c r="A47" s="13" t="s">
        <v>253</v>
      </c>
      <c r="B47" s="14" t="s">
        <v>254</v>
      </c>
      <c r="C47" s="11"/>
    </row>
    <row r="48" spans="1:3" ht="17.25" x14ac:dyDescent="0.3">
      <c r="A48" s="13" t="s">
        <v>255</v>
      </c>
      <c r="B48" s="14" t="s">
        <v>256</v>
      </c>
      <c r="C48" s="11"/>
    </row>
    <row r="49" spans="1:3" ht="17.25" x14ac:dyDescent="0.3">
      <c r="A49" s="13" t="s">
        <v>257</v>
      </c>
      <c r="B49" s="14" t="s">
        <v>258</v>
      </c>
      <c r="C49" s="11"/>
    </row>
    <row r="50" spans="1:3" ht="17.25" x14ac:dyDescent="0.3">
      <c r="A50" s="13" t="s">
        <v>259</v>
      </c>
      <c r="B50" s="14" t="s">
        <v>260</v>
      </c>
      <c r="C50" s="11"/>
    </row>
    <row r="51" spans="1:3" ht="17.25" x14ac:dyDescent="0.3">
      <c r="A51" s="13" t="s">
        <v>261</v>
      </c>
      <c r="B51" s="14" t="s">
        <v>262</v>
      </c>
      <c r="C51" s="11"/>
    </row>
    <row r="52" spans="1:3" ht="17.25" x14ac:dyDescent="0.3">
      <c r="A52" s="13" t="s">
        <v>263</v>
      </c>
      <c r="B52" s="14" t="s">
        <v>264</v>
      </c>
      <c r="C52" s="11"/>
    </row>
    <row r="53" spans="1:3" ht="17.25" x14ac:dyDescent="0.3">
      <c r="A53" s="13" t="s">
        <v>265</v>
      </c>
      <c r="B53" s="14" t="s">
        <v>266</v>
      </c>
      <c r="C53" s="11"/>
    </row>
    <row r="54" spans="1:3" ht="17.25" x14ac:dyDescent="0.3">
      <c r="A54" s="13" t="s">
        <v>267</v>
      </c>
      <c r="B54" s="14" t="s">
        <v>268</v>
      </c>
      <c r="C54" s="11"/>
    </row>
    <row r="55" spans="1:3" ht="17.25" x14ac:dyDescent="0.3">
      <c r="A55" s="13" t="s">
        <v>269</v>
      </c>
      <c r="B55" s="14" t="s">
        <v>270</v>
      </c>
      <c r="C55" s="11"/>
    </row>
    <row r="56" spans="1:3" ht="17.25" x14ac:dyDescent="0.3">
      <c r="A56" s="13" t="s">
        <v>271</v>
      </c>
      <c r="B56" s="14" t="s">
        <v>272</v>
      </c>
      <c r="C56" s="11"/>
    </row>
    <row r="57" spans="1:3" ht="17.25" x14ac:dyDescent="0.3">
      <c r="A57" s="13" t="s">
        <v>273</v>
      </c>
      <c r="B57" s="14" t="s">
        <v>274</v>
      </c>
      <c r="C57" s="11"/>
    </row>
    <row r="58" spans="1:3" ht="17.25" x14ac:dyDescent="0.3">
      <c r="A58" s="13" t="s">
        <v>275</v>
      </c>
      <c r="B58" s="14" t="s">
        <v>276</v>
      </c>
      <c r="C58" s="11"/>
    </row>
    <row r="59" spans="1:3" ht="17.25" x14ac:dyDescent="0.3">
      <c r="A59" s="13" t="s">
        <v>277</v>
      </c>
      <c r="B59" s="14" t="s">
        <v>278</v>
      </c>
      <c r="C59" s="11"/>
    </row>
    <row r="60" spans="1:3" ht="17.25" x14ac:dyDescent="0.3">
      <c r="A60" s="13" t="s">
        <v>279</v>
      </c>
      <c r="B60" s="14" t="s">
        <v>280</v>
      </c>
      <c r="C60" s="11"/>
    </row>
    <row r="61" spans="1:3" ht="17.25" x14ac:dyDescent="0.3">
      <c r="A61" s="13" t="s">
        <v>281</v>
      </c>
      <c r="B61" s="14" t="s">
        <v>282</v>
      </c>
      <c r="C61" s="11"/>
    </row>
    <row r="62" spans="1:3" ht="17.25" x14ac:dyDescent="0.3">
      <c r="A62" s="13" t="s">
        <v>283</v>
      </c>
      <c r="B62" s="14" t="s">
        <v>284</v>
      </c>
      <c r="C62" s="11"/>
    </row>
    <row r="63" spans="1:3" ht="17.25" x14ac:dyDescent="0.3">
      <c r="A63" s="13" t="s">
        <v>285</v>
      </c>
      <c r="B63" s="14" t="s">
        <v>286</v>
      </c>
      <c r="C63" s="11"/>
    </row>
    <row r="64" spans="1:3" ht="17.25" x14ac:dyDescent="0.3">
      <c r="A64" s="13" t="s">
        <v>287</v>
      </c>
      <c r="B64" s="14" t="s">
        <v>288</v>
      </c>
      <c r="C64" s="11"/>
    </row>
    <row r="65" spans="1:3" ht="17.25" x14ac:dyDescent="0.3">
      <c r="A65" s="13" t="s">
        <v>289</v>
      </c>
      <c r="B65" s="14" t="s">
        <v>290</v>
      </c>
      <c r="C65" s="11"/>
    </row>
    <row r="66" spans="1:3" ht="17.25" x14ac:dyDescent="0.3">
      <c r="A66" s="13" t="s">
        <v>291</v>
      </c>
      <c r="B66" s="14" t="s">
        <v>292</v>
      </c>
      <c r="C66" s="11"/>
    </row>
    <row r="67" spans="1:3" ht="17.25" x14ac:dyDescent="0.3">
      <c r="A67" s="13" t="s">
        <v>293</v>
      </c>
      <c r="B67" s="14" t="s">
        <v>294</v>
      </c>
      <c r="C67" s="11"/>
    </row>
    <row r="68" spans="1:3" ht="17.25" x14ac:dyDescent="0.3">
      <c r="A68" s="13" t="s">
        <v>295</v>
      </c>
      <c r="B68" s="14" t="s">
        <v>296</v>
      </c>
      <c r="C68" s="11"/>
    </row>
    <row r="69" spans="1:3" ht="17.25" x14ac:dyDescent="0.3">
      <c r="A69" s="13" t="s">
        <v>297</v>
      </c>
      <c r="B69" s="14" t="s">
        <v>298</v>
      </c>
      <c r="C69" s="11"/>
    </row>
    <row r="70" spans="1:3" ht="17.25" x14ac:dyDescent="0.3">
      <c r="A70" s="13" t="s">
        <v>299</v>
      </c>
      <c r="B70" s="14" t="s">
        <v>300</v>
      </c>
      <c r="C70" s="11"/>
    </row>
    <row r="71" spans="1:3" ht="17.25" x14ac:dyDescent="0.3">
      <c r="A71" s="13" t="s">
        <v>301</v>
      </c>
      <c r="B71" s="14" t="s">
        <v>302</v>
      </c>
      <c r="C71" s="11"/>
    </row>
    <row r="72" spans="1:3" ht="17.25" x14ac:dyDescent="0.3">
      <c r="A72" s="13" t="s">
        <v>303</v>
      </c>
      <c r="B72" s="14" t="s">
        <v>304</v>
      </c>
      <c r="C72" s="11"/>
    </row>
    <row r="73" spans="1:3" ht="17.25" x14ac:dyDescent="0.3">
      <c r="A73" s="13" t="s">
        <v>305</v>
      </c>
      <c r="B73" s="14" t="s">
        <v>306</v>
      </c>
      <c r="C73" s="11"/>
    </row>
    <row r="74" spans="1:3" ht="17.25" x14ac:dyDescent="0.3">
      <c r="A74" s="13" t="s">
        <v>307</v>
      </c>
      <c r="B74" s="14" t="s">
        <v>308</v>
      </c>
      <c r="C74" s="11"/>
    </row>
    <row r="75" spans="1:3" ht="17.25" x14ac:dyDescent="0.3">
      <c r="A75" s="13" t="s">
        <v>309</v>
      </c>
      <c r="B75" s="14" t="s">
        <v>310</v>
      </c>
      <c r="C75" s="11"/>
    </row>
    <row r="76" spans="1:3" ht="17.25" x14ac:dyDescent="0.3">
      <c r="A76" s="13" t="s">
        <v>311</v>
      </c>
      <c r="B76" s="14" t="s">
        <v>312</v>
      </c>
      <c r="C76" s="11"/>
    </row>
    <row r="77" spans="1:3" ht="17.25" x14ac:dyDescent="0.3">
      <c r="A77" s="13" t="s">
        <v>313</v>
      </c>
      <c r="B77" s="14" t="s">
        <v>314</v>
      </c>
      <c r="C77" s="11"/>
    </row>
    <row r="78" spans="1:3" ht="17.25" x14ac:dyDescent="0.3">
      <c r="A78" s="13" t="s">
        <v>315</v>
      </c>
      <c r="B78" s="14" t="s">
        <v>316</v>
      </c>
      <c r="C78" s="11"/>
    </row>
    <row r="79" spans="1:3" ht="17.25" x14ac:dyDescent="0.3">
      <c r="A79" s="13" t="s">
        <v>317</v>
      </c>
      <c r="B79" s="14" t="s">
        <v>318</v>
      </c>
      <c r="C79" s="11" t="s">
        <v>319</v>
      </c>
    </row>
    <row r="80" spans="1:3" ht="17.25" x14ac:dyDescent="0.3">
      <c r="A80" s="13" t="s">
        <v>320</v>
      </c>
      <c r="B80" s="14" t="s">
        <v>321</v>
      </c>
      <c r="C80" s="11"/>
    </row>
    <row r="81" spans="1:3" ht="17.25" x14ac:dyDescent="0.3">
      <c r="A81" s="13" t="s">
        <v>322</v>
      </c>
      <c r="B81" s="14" t="s">
        <v>323</v>
      </c>
      <c r="C81" s="11"/>
    </row>
    <row r="82" spans="1:3" ht="17.25" x14ac:dyDescent="0.3">
      <c r="A82" s="13" t="s">
        <v>324</v>
      </c>
      <c r="B82" s="14" t="s">
        <v>325</v>
      </c>
      <c r="C82" s="11"/>
    </row>
    <row r="83" spans="1:3" ht="17.25" x14ac:dyDescent="0.3">
      <c r="A83" s="13" t="s">
        <v>326</v>
      </c>
      <c r="B83" s="14" t="s">
        <v>327</v>
      </c>
      <c r="C83" s="11"/>
    </row>
    <row r="84" spans="1:3" ht="17.25" x14ac:dyDescent="0.3">
      <c r="A84" s="13" t="s">
        <v>328</v>
      </c>
      <c r="B84" s="14" t="s">
        <v>329</v>
      </c>
      <c r="C84" s="11"/>
    </row>
    <row r="85" spans="1:3" ht="17.25" x14ac:dyDescent="0.3">
      <c r="A85" s="13" t="s">
        <v>330</v>
      </c>
      <c r="B85" s="14" t="s">
        <v>331</v>
      </c>
      <c r="C85" s="11"/>
    </row>
    <row r="86" spans="1:3" ht="17.25" x14ac:dyDescent="0.3">
      <c r="A86" s="13" t="s">
        <v>332</v>
      </c>
      <c r="B86" s="14" t="s">
        <v>333</v>
      </c>
      <c r="C86" s="11"/>
    </row>
    <row r="87" spans="1:3" ht="17.25" x14ac:dyDescent="0.3">
      <c r="A87" s="13" t="s">
        <v>334</v>
      </c>
      <c r="B87" s="14" t="s">
        <v>335</v>
      </c>
      <c r="C87" s="11"/>
    </row>
    <row r="88" spans="1:3" ht="17.25" x14ac:dyDescent="0.3">
      <c r="A88" s="13" t="s">
        <v>336</v>
      </c>
      <c r="B88" s="14" t="s">
        <v>337</v>
      </c>
      <c r="C88" s="11"/>
    </row>
    <row r="89" spans="1:3" ht="17.25" x14ac:dyDescent="0.3">
      <c r="A89" s="13" t="s">
        <v>338</v>
      </c>
      <c r="B89" s="14" t="s">
        <v>339</v>
      </c>
      <c r="C89" s="11"/>
    </row>
    <row r="90" spans="1:3" ht="17.25" x14ac:dyDescent="0.3">
      <c r="A90" s="13" t="s">
        <v>340</v>
      </c>
      <c r="B90" s="14" t="s">
        <v>341</v>
      </c>
      <c r="C90" s="11"/>
    </row>
    <row r="91" spans="1:3" ht="17.25" x14ac:dyDescent="0.3">
      <c r="A91" s="13" t="s">
        <v>342</v>
      </c>
      <c r="B91" s="14" t="s">
        <v>343</v>
      </c>
      <c r="C91" s="11"/>
    </row>
    <row r="92" spans="1:3" ht="17.25" x14ac:dyDescent="0.3">
      <c r="A92" s="13" t="s">
        <v>344</v>
      </c>
      <c r="B92" s="14" t="s">
        <v>345</v>
      </c>
      <c r="C92" s="11"/>
    </row>
    <row r="93" spans="1:3" ht="17.25" x14ac:dyDescent="0.3">
      <c r="A93" s="13" t="s">
        <v>346</v>
      </c>
      <c r="B93" s="14" t="s">
        <v>347</v>
      </c>
      <c r="C93" s="11"/>
    </row>
    <row r="94" spans="1:3" ht="17.25" x14ac:dyDescent="0.3">
      <c r="A94" s="13" t="s">
        <v>348</v>
      </c>
      <c r="B94" s="14" t="s">
        <v>349</v>
      </c>
      <c r="C94" s="11"/>
    </row>
    <row r="95" spans="1:3" ht="17.25" x14ac:dyDescent="0.3">
      <c r="A95" s="13" t="s">
        <v>350</v>
      </c>
      <c r="B95" s="14" t="s">
        <v>351</v>
      </c>
      <c r="C95" s="11"/>
    </row>
    <row r="96" spans="1:3" ht="17.25" x14ac:dyDescent="0.3">
      <c r="A96" s="13" t="s">
        <v>352</v>
      </c>
      <c r="B96" s="14" t="s">
        <v>353</v>
      </c>
      <c r="C96" s="11"/>
    </row>
    <row r="97" spans="1:3" ht="17.25" x14ac:dyDescent="0.3">
      <c r="A97" s="13" t="s">
        <v>354</v>
      </c>
      <c r="B97" s="14" t="s">
        <v>355</v>
      </c>
      <c r="C97" s="11"/>
    </row>
    <row r="98" spans="1:3" ht="17.25" x14ac:dyDescent="0.3">
      <c r="A98" s="13" t="s">
        <v>356</v>
      </c>
      <c r="B98" s="14" t="s">
        <v>357</v>
      </c>
      <c r="C98" s="11"/>
    </row>
    <row r="99" spans="1:3" ht="17.25" x14ac:dyDescent="0.3">
      <c r="A99" s="13" t="s">
        <v>358</v>
      </c>
      <c r="B99" s="14" t="s">
        <v>359</v>
      </c>
      <c r="C99" s="11"/>
    </row>
    <row r="100" spans="1:3" ht="17.25" x14ac:dyDescent="0.3">
      <c r="A100" s="13" t="s">
        <v>360</v>
      </c>
      <c r="B100" s="14" t="s">
        <v>361</v>
      </c>
      <c r="C100" s="11"/>
    </row>
    <row r="101" spans="1:3" ht="17.25" x14ac:dyDescent="0.3">
      <c r="A101" s="13" t="s">
        <v>362</v>
      </c>
      <c r="B101" s="14" t="s">
        <v>278</v>
      </c>
      <c r="C101" s="11"/>
    </row>
    <row r="102" spans="1:3" ht="17.25" x14ac:dyDescent="0.3">
      <c r="A102" s="13" t="s">
        <v>363</v>
      </c>
      <c r="B102" s="14" t="s">
        <v>364</v>
      </c>
      <c r="C102" s="11"/>
    </row>
    <row r="103" spans="1:3" ht="17.25" x14ac:dyDescent="0.3">
      <c r="A103" s="13" t="s">
        <v>365</v>
      </c>
      <c r="B103" s="14" t="s">
        <v>366</v>
      </c>
      <c r="C103" s="11"/>
    </row>
    <row r="104" spans="1:3" ht="17.25" x14ac:dyDescent="0.3">
      <c r="A104" s="13" t="s">
        <v>367</v>
      </c>
      <c r="B104" s="14" t="s">
        <v>368</v>
      </c>
      <c r="C104" s="11"/>
    </row>
    <row r="105" spans="1:3" ht="17.25" x14ac:dyDescent="0.3">
      <c r="A105" s="13" t="s">
        <v>369</v>
      </c>
      <c r="B105" s="14" t="s">
        <v>370</v>
      </c>
      <c r="C105" s="11"/>
    </row>
    <row r="106" spans="1:3" ht="17.25" x14ac:dyDescent="0.3">
      <c r="A106" s="13" t="s">
        <v>371</v>
      </c>
      <c r="B106" s="14" t="s">
        <v>372</v>
      </c>
      <c r="C106" s="11"/>
    </row>
    <row r="107" spans="1:3" ht="17.25" x14ac:dyDescent="0.3">
      <c r="A107" s="13" t="s">
        <v>373</v>
      </c>
      <c r="B107" s="14" t="s">
        <v>374</v>
      </c>
      <c r="C107" s="11"/>
    </row>
    <row r="108" spans="1:3" ht="17.25" x14ac:dyDescent="0.3">
      <c r="A108" s="13" t="s">
        <v>375</v>
      </c>
      <c r="B108" s="14" t="s">
        <v>376</v>
      </c>
      <c r="C108" s="11"/>
    </row>
    <row r="109" spans="1:3" ht="17.25" x14ac:dyDescent="0.3">
      <c r="A109" s="13" t="s">
        <v>377</v>
      </c>
      <c r="B109" s="14" t="s">
        <v>378</v>
      </c>
      <c r="C109" s="11"/>
    </row>
    <row r="110" spans="1:3" ht="17.25" x14ac:dyDescent="0.3">
      <c r="A110" s="13" t="s">
        <v>379</v>
      </c>
      <c r="B110" s="14" t="s">
        <v>380</v>
      </c>
      <c r="C110" s="11"/>
    </row>
    <row r="111" spans="1:3" ht="17.25" x14ac:dyDescent="0.3">
      <c r="A111" s="13" t="s">
        <v>381</v>
      </c>
      <c r="B111" s="14" t="s">
        <v>382</v>
      </c>
      <c r="C111" s="11"/>
    </row>
    <row r="112" spans="1:3" ht="17.25" x14ac:dyDescent="0.3">
      <c r="A112" s="13" t="s">
        <v>383</v>
      </c>
      <c r="B112" s="14" t="s">
        <v>384</v>
      </c>
      <c r="C112" s="11"/>
    </row>
    <row r="113" spans="1:3" ht="17.25" x14ac:dyDescent="0.3">
      <c r="A113" s="13" t="s">
        <v>385</v>
      </c>
      <c r="B113" s="14" t="s">
        <v>386</v>
      </c>
      <c r="C113" s="11"/>
    </row>
    <row r="114" spans="1:3" ht="17.25" x14ac:dyDescent="0.3">
      <c r="A114" s="13" t="s">
        <v>387</v>
      </c>
      <c r="B114" s="14" t="s">
        <v>388</v>
      </c>
      <c r="C114" s="11"/>
    </row>
    <row r="115" spans="1:3" ht="17.25" x14ac:dyDescent="0.3">
      <c r="A115" s="13" t="s">
        <v>389</v>
      </c>
      <c r="B115" s="14" t="s">
        <v>390</v>
      </c>
      <c r="C115" s="11"/>
    </row>
    <row r="116" spans="1:3" ht="17.25" x14ac:dyDescent="0.3">
      <c r="A116" s="13" t="s">
        <v>391</v>
      </c>
      <c r="B116" s="14" t="s">
        <v>392</v>
      </c>
      <c r="C116" s="11"/>
    </row>
    <row r="117" spans="1:3" ht="17.25" x14ac:dyDescent="0.3">
      <c r="A117" s="13" t="s">
        <v>393</v>
      </c>
      <c r="B117" s="14" t="s">
        <v>394</v>
      </c>
      <c r="C117" s="11"/>
    </row>
    <row r="118" spans="1:3" ht="17.25" x14ac:dyDescent="0.3">
      <c r="A118" s="13" t="s">
        <v>395</v>
      </c>
      <c r="B118" s="14" t="s">
        <v>396</v>
      </c>
      <c r="C118" s="11"/>
    </row>
    <row r="119" spans="1:3" ht="17.25" x14ac:dyDescent="0.3">
      <c r="A119" s="13" t="s">
        <v>395</v>
      </c>
      <c r="B119" s="14" t="s">
        <v>397</v>
      </c>
      <c r="C119" s="11"/>
    </row>
    <row r="120" spans="1:3" ht="17.25" x14ac:dyDescent="0.3">
      <c r="A120" s="13" t="s">
        <v>398</v>
      </c>
      <c r="B120" s="14" t="s">
        <v>399</v>
      </c>
      <c r="C120" s="11"/>
    </row>
    <row r="121" spans="1:3" ht="17.25" x14ac:dyDescent="0.3">
      <c r="A121" s="13" t="s">
        <v>400</v>
      </c>
      <c r="B121" s="14" t="s">
        <v>401</v>
      </c>
      <c r="C121" s="11"/>
    </row>
    <row r="122" spans="1:3" ht="17.25" x14ac:dyDescent="0.3">
      <c r="A122" s="13" t="s">
        <v>402</v>
      </c>
      <c r="B122" s="14" t="s">
        <v>403</v>
      </c>
      <c r="C122" s="11"/>
    </row>
    <row r="123" spans="1:3" ht="17.25" x14ac:dyDescent="0.3">
      <c r="A123" s="13" t="s">
        <v>404</v>
      </c>
      <c r="B123" s="14" t="s">
        <v>405</v>
      </c>
      <c r="C123" s="11"/>
    </row>
    <row r="124" spans="1:3" ht="17.25" x14ac:dyDescent="0.3">
      <c r="A124" s="13" t="s">
        <v>406</v>
      </c>
      <c r="B124" s="14" t="s">
        <v>407</v>
      </c>
      <c r="C124" s="11"/>
    </row>
    <row r="125" spans="1:3" ht="17.25" x14ac:dyDescent="0.3">
      <c r="A125" s="13" t="s">
        <v>408</v>
      </c>
      <c r="B125" s="14" t="s">
        <v>409</v>
      </c>
      <c r="C125" s="11"/>
    </row>
    <row r="126" spans="1:3" ht="17.25" x14ac:dyDescent="0.3">
      <c r="A126" s="13" t="s">
        <v>410</v>
      </c>
      <c r="B126" s="14" t="s">
        <v>411</v>
      </c>
      <c r="C126" s="11"/>
    </row>
    <row r="127" spans="1:3" ht="17.25" x14ac:dyDescent="0.3">
      <c r="A127" s="13" t="s">
        <v>412</v>
      </c>
      <c r="B127" s="14" t="s">
        <v>413</v>
      </c>
      <c r="C127" s="11" t="s">
        <v>414</v>
      </c>
    </row>
    <row r="128" spans="1:3" ht="17.25" x14ac:dyDescent="0.3">
      <c r="A128" s="13" t="s">
        <v>415</v>
      </c>
      <c r="B128" s="14" t="s">
        <v>416</v>
      </c>
      <c r="C128" s="11"/>
    </row>
    <row r="129" spans="1:3" ht="17.25" x14ac:dyDescent="0.3">
      <c r="A129" s="13" t="s">
        <v>417</v>
      </c>
      <c r="B129" s="14" t="s">
        <v>418</v>
      </c>
      <c r="C129" s="11"/>
    </row>
    <row r="130" spans="1:3" ht="17.25" x14ac:dyDescent="0.3">
      <c r="A130" s="13" t="s">
        <v>419</v>
      </c>
      <c r="B130" s="14" t="s">
        <v>420</v>
      </c>
      <c r="C130" s="11"/>
    </row>
    <row r="131" spans="1:3" ht="17.25" x14ac:dyDescent="0.3">
      <c r="A131" s="13" t="s">
        <v>421</v>
      </c>
      <c r="B131" s="14" t="s">
        <v>422</v>
      </c>
      <c r="C131" s="11"/>
    </row>
    <row r="132" spans="1:3" ht="17.25" x14ac:dyDescent="0.3">
      <c r="A132" s="13" t="s">
        <v>423</v>
      </c>
      <c r="B132" s="14" t="s">
        <v>168</v>
      </c>
      <c r="C132" s="11"/>
    </row>
    <row r="133" spans="1:3" ht="17.25" x14ac:dyDescent="0.3">
      <c r="A133" s="13" t="s">
        <v>425</v>
      </c>
      <c r="B133" s="14" t="s">
        <v>424</v>
      </c>
      <c r="C133" s="11"/>
    </row>
    <row r="134" spans="1:3" ht="17.25" x14ac:dyDescent="0.3">
      <c r="A134" s="13" t="s">
        <v>426</v>
      </c>
      <c r="B134" s="14" t="s">
        <v>427</v>
      </c>
      <c r="C134" s="11"/>
    </row>
    <row r="135" spans="1:3" ht="17.25" x14ac:dyDescent="0.3">
      <c r="A135" s="13" t="s">
        <v>428</v>
      </c>
      <c r="B135" s="14" t="s">
        <v>429</v>
      </c>
      <c r="C135" s="11"/>
    </row>
    <row r="136" spans="1:3" ht="17.25" x14ac:dyDescent="0.3">
      <c r="A136" s="13" t="s">
        <v>430</v>
      </c>
      <c r="B136" s="14" t="s">
        <v>431</v>
      </c>
      <c r="C136" s="11" t="s">
        <v>512</v>
      </c>
    </row>
    <row r="137" spans="1:3" ht="17.25" x14ac:dyDescent="0.3">
      <c r="A137" s="13" t="s">
        <v>432</v>
      </c>
      <c r="B137" s="14" t="s">
        <v>433</v>
      </c>
      <c r="C137" s="11"/>
    </row>
    <row r="138" spans="1:3" ht="17.25" x14ac:dyDescent="0.3">
      <c r="A138" s="13" t="s">
        <v>434</v>
      </c>
      <c r="B138" s="14" t="s">
        <v>435</v>
      </c>
      <c r="C138" s="11"/>
    </row>
    <row r="139" spans="1:3" ht="17.25" x14ac:dyDescent="0.3">
      <c r="A139" s="13" t="s">
        <v>436</v>
      </c>
      <c r="B139" s="14" t="s">
        <v>437</v>
      </c>
      <c r="C139" s="11"/>
    </row>
    <row r="140" spans="1:3" ht="17.25" x14ac:dyDescent="0.3">
      <c r="A140" s="13" t="s">
        <v>438</v>
      </c>
      <c r="B140" s="14" t="s">
        <v>321</v>
      </c>
      <c r="C140" s="11"/>
    </row>
    <row r="141" spans="1:3" ht="17.25" x14ac:dyDescent="0.3">
      <c r="A141" s="13" t="s">
        <v>439</v>
      </c>
      <c r="B141" s="14" t="s">
        <v>440</v>
      </c>
      <c r="C141" s="11"/>
    </row>
    <row r="142" spans="1:3" ht="17.25" x14ac:dyDescent="0.3">
      <c r="A142" s="13" t="s">
        <v>515</v>
      </c>
      <c r="B142" s="14" t="s">
        <v>518</v>
      </c>
      <c r="C142" s="11"/>
    </row>
    <row r="143" spans="1:3" ht="17.25" x14ac:dyDescent="0.3">
      <c r="A143" s="13" t="s">
        <v>516</v>
      </c>
      <c r="B143" s="14" t="s">
        <v>517</v>
      </c>
      <c r="C143" s="11"/>
    </row>
    <row r="144" spans="1:3" ht="17.25" x14ac:dyDescent="0.3">
      <c r="A144" s="13" t="s">
        <v>441</v>
      </c>
      <c r="B144" s="14" t="s">
        <v>442</v>
      </c>
      <c r="C144" s="11"/>
    </row>
    <row r="145" spans="1:3" ht="17.25" x14ac:dyDescent="0.3">
      <c r="A145" s="13" t="s">
        <v>443</v>
      </c>
      <c r="B145" s="14" t="s">
        <v>444</v>
      </c>
      <c r="C145" s="11"/>
    </row>
    <row r="146" spans="1:3" ht="17.25" x14ac:dyDescent="0.3">
      <c r="A146" s="13" t="s">
        <v>445</v>
      </c>
      <c r="B146" s="14" t="s">
        <v>446</v>
      </c>
      <c r="C146" s="11"/>
    </row>
    <row r="147" spans="1:3" ht="17.25" x14ac:dyDescent="0.3">
      <c r="A147" s="13" t="s">
        <v>447</v>
      </c>
      <c r="B147" s="14" t="s">
        <v>448</v>
      </c>
      <c r="C147" s="11"/>
    </row>
    <row r="148" spans="1:3" ht="17.25" x14ac:dyDescent="0.3">
      <c r="A148" s="13" t="s">
        <v>449</v>
      </c>
      <c r="B148" s="14" t="s">
        <v>450</v>
      </c>
      <c r="C148" s="11"/>
    </row>
    <row r="149" spans="1:3" ht="17.25" x14ac:dyDescent="0.3">
      <c r="A149" s="13" t="s">
        <v>451</v>
      </c>
      <c r="B149" s="14" t="s">
        <v>452</v>
      </c>
      <c r="C149" s="11"/>
    </row>
    <row r="150" spans="1:3" ht="17.25" x14ac:dyDescent="0.3">
      <c r="A150" s="13" t="s">
        <v>453</v>
      </c>
      <c r="B150" s="14" t="s">
        <v>454</v>
      </c>
      <c r="C150" s="11"/>
    </row>
    <row r="151" spans="1:3" ht="17.25" x14ac:dyDescent="0.3">
      <c r="A151" s="13" t="s">
        <v>455</v>
      </c>
      <c r="B151" s="14" t="s">
        <v>456</v>
      </c>
      <c r="C151" s="11"/>
    </row>
    <row r="152" spans="1:3" ht="17.25" x14ac:dyDescent="0.3">
      <c r="A152" s="13" t="s">
        <v>457</v>
      </c>
      <c r="B152" s="14" t="s">
        <v>458</v>
      </c>
      <c r="C152" s="11"/>
    </row>
    <row r="153" spans="1:3" ht="17.25" x14ac:dyDescent="0.3">
      <c r="A153" s="13" t="s">
        <v>459</v>
      </c>
      <c r="B153" s="14" t="s">
        <v>460</v>
      </c>
      <c r="C153" s="11"/>
    </row>
    <row r="154" spans="1:3" ht="17.25" x14ac:dyDescent="0.3">
      <c r="A154" s="13" t="s">
        <v>461</v>
      </c>
      <c r="B154" s="14" t="s">
        <v>462</v>
      </c>
      <c r="C154" s="11"/>
    </row>
    <row r="155" spans="1:3" ht="17.25" x14ac:dyDescent="0.3">
      <c r="A155" s="13" t="s">
        <v>463</v>
      </c>
      <c r="B155" s="14" t="s">
        <v>464</v>
      </c>
      <c r="C155" s="11" t="s">
        <v>512</v>
      </c>
    </row>
    <row r="156" spans="1:3" ht="17.25" x14ac:dyDescent="0.3">
      <c r="A156" s="13" t="s">
        <v>465</v>
      </c>
      <c r="B156" s="14" t="s">
        <v>466</v>
      </c>
      <c r="C156" s="11"/>
    </row>
    <row r="157" spans="1:3" ht="17.25" x14ac:dyDescent="0.3">
      <c r="A157" s="13" t="s">
        <v>467</v>
      </c>
      <c r="B157" s="14" t="s">
        <v>468</v>
      </c>
      <c r="C157" s="11"/>
    </row>
    <row r="158" spans="1:3" ht="17.25" x14ac:dyDescent="0.3">
      <c r="A158" s="13" t="s">
        <v>469</v>
      </c>
      <c r="B158" s="14" t="s">
        <v>470</v>
      </c>
      <c r="C158" s="11"/>
    </row>
    <row r="159" spans="1:3" ht="17.25" x14ac:dyDescent="0.3">
      <c r="A159" s="13" t="s">
        <v>471</v>
      </c>
      <c r="B159" s="14" t="s">
        <v>472</v>
      </c>
      <c r="C159" s="11"/>
    </row>
    <row r="160" spans="1:3" ht="17.25" x14ac:dyDescent="0.3">
      <c r="A160" s="13" t="s">
        <v>473</v>
      </c>
      <c r="B160" s="14" t="s">
        <v>474</v>
      </c>
      <c r="C160" s="11"/>
    </row>
    <row r="161" spans="1:3" ht="17.25" x14ac:dyDescent="0.3">
      <c r="A161" s="13" t="s">
        <v>475</v>
      </c>
      <c r="B161" s="14" t="s">
        <v>476</v>
      </c>
      <c r="C161" s="11"/>
    </row>
    <row r="162" spans="1:3" ht="17.25" x14ac:dyDescent="0.3">
      <c r="A162" s="13" t="s">
        <v>477</v>
      </c>
      <c r="B162" s="14" t="s">
        <v>478</v>
      </c>
      <c r="C162" s="11" t="s">
        <v>511</v>
      </c>
    </row>
    <row r="163" spans="1:3" ht="17.25" x14ac:dyDescent="0.3">
      <c r="A163" s="13" t="s">
        <v>479</v>
      </c>
      <c r="B163" s="14" t="s">
        <v>480</v>
      </c>
      <c r="C163" s="11" t="s">
        <v>511</v>
      </c>
    </row>
    <row r="164" spans="1:3" ht="17.25" x14ac:dyDescent="0.3">
      <c r="A164" s="13" t="s">
        <v>481</v>
      </c>
      <c r="B164" s="14" t="s">
        <v>482</v>
      </c>
      <c r="C164" s="11"/>
    </row>
    <row r="165" spans="1:3" ht="17.25" x14ac:dyDescent="0.3">
      <c r="A165" s="13" t="s">
        <v>483</v>
      </c>
      <c r="B165" s="14" t="s">
        <v>484</v>
      </c>
      <c r="C165" s="11"/>
    </row>
    <row r="166" spans="1:3" ht="17.25" x14ac:dyDescent="0.3">
      <c r="A166" s="13" t="s">
        <v>485</v>
      </c>
      <c r="B166" s="14" t="s">
        <v>486</v>
      </c>
      <c r="C166" s="11"/>
    </row>
    <row r="167" spans="1:3" ht="17.25" x14ac:dyDescent="0.3">
      <c r="A167" s="13" t="s">
        <v>487</v>
      </c>
      <c r="B167" s="14" t="s">
        <v>488</v>
      </c>
      <c r="C167" s="11"/>
    </row>
    <row r="168" spans="1:3" ht="17.25" x14ac:dyDescent="0.3">
      <c r="A168" s="13" t="s">
        <v>489</v>
      </c>
      <c r="B168" s="14" t="s">
        <v>490</v>
      </c>
      <c r="C168" s="11"/>
    </row>
    <row r="169" spans="1:3" ht="17.25" x14ac:dyDescent="0.3">
      <c r="A169" s="13" t="s">
        <v>491</v>
      </c>
      <c r="B169" s="14" t="s">
        <v>492</v>
      </c>
      <c r="C169" s="11"/>
    </row>
    <row r="170" spans="1:3" ht="17.25" x14ac:dyDescent="0.3">
      <c r="A170" s="13" t="s">
        <v>493</v>
      </c>
      <c r="B170" s="14" t="s">
        <v>494</v>
      </c>
      <c r="C170" s="11"/>
    </row>
    <row r="171" spans="1:3" ht="17.25" x14ac:dyDescent="0.3">
      <c r="A171" s="13" t="s">
        <v>495</v>
      </c>
      <c r="B171" s="14" t="s">
        <v>519</v>
      </c>
      <c r="C171" s="11" t="s">
        <v>512</v>
      </c>
    </row>
    <row r="172" spans="1:3" ht="17.25" x14ac:dyDescent="0.3">
      <c r="A172" s="13" t="s">
        <v>496</v>
      </c>
      <c r="B172" s="14" t="s">
        <v>497</v>
      </c>
      <c r="C172" s="11" t="s">
        <v>512</v>
      </c>
    </row>
    <row r="173" spans="1:3" ht="17.25" x14ac:dyDescent="0.3">
      <c r="A173" s="13" t="s">
        <v>498</v>
      </c>
      <c r="B173" s="14" t="s">
        <v>499</v>
      </c>
      <c r="C173" s="11" t="s">
        <v>512</v>
      </c>
    </row>
    <row r="174" spans="1:3" ht="17.25" x14ac:dyDescent="0.3">
      <c r="A174" s="13" t="s">
        <v>500</v>
      </c>
      <c r="B174" s="14" t="s">
        <v>501</v>
      </c>
      <c r="C174" s="11" t="s">
        <v>512</v>
      </c>
    </row>
    <row r="175" spans="1:3" ht="17.25" x14ac:dyDescent="0.3">
      <c r="A175" s="13" t="s">
        <v>502</v>
      </c>
      <c r="B175" s="14" t="s">
        <v>503</v>
      </c>
      <c r="C175" s="11" t="s">
        <v>512</v>
      </c>
    </row>
    <row r="176" spans="1:3" ht="17.25" x14ac:dyDescent="0.3">
      <c r="A176" s="13" t="s">
        <v>504</v>
      </c>
      <c r="B176" s="14" t="s">
        <v>505</v>
      </c>
      <c r="C176" s="11"/>
    </row>
    <row r="177" spans="1:3" ht="17.25" x14ac:dyDescent="0.3">
      <c r="A177" s="13" t="s">
        <v>506</v>
      </c>
      <c r="B177" s="14" t="s">
        <v>507</v>
      </c>
      <c r="C177" s="11" t="s">
        <v>512</v>
      </c>
    </row>
    <row r="178" spans="1:3" ht="17.25" x14ac:dyDescent="0.3">
      <c r="A178" s="13" t="s">
        <v>508</v>
      </c>
      <c r="B178" s="14" t="s">
        <v>509</v>
      </c>
      <c r="C178" s="11" t="s">
        <v>510</v>
      </c>
    </row>
    <row r="179" spans="1:3" ht="17.25" x14ac:dyDescent="0.3">
      <c r="A179" s="13" t="s">
        <v>513</v>
      </c>
      <c r="B179" s="14" t="s">
        <v>514</v>
      </c>
      <c r="C179" s="11"/>
    </row>
  </sheetData>
  <autoFilter ref="A1:C3" xr:uid="{00000000-0009-0000-0000-000000000000}"/>
  <conditionalFormatting sqref="A1:A3">
    <cfRule type="containsBlanks" dxfId="20" priority="121" stopIfTrue="1">
      <formula>LEN(TRIM(A1))=0</formula>
    </cfRule>
  </conditionalFormatting>
  <conditionalFormatting sqref="B2:B178">
    <cfRule type="duplicateValues" dxfId="19" priority="122" stopIfTrue="1"/>
  </conditionalFormatting>
  <pageMargins left="0.70866141732283472" right="0.70866141732283472" top="0.78740157480314965" bottom="0.78740157480314965" header="0.31496062992125984" footer="0.31496062992125984"/>
  <pageSetup paperSize="9" scale="74" fitToHeight="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topLeftCell="A28" workbookViewId="0">
      <selection activeCell="D30" sqref="D30"/>
    </sheetView>
  </sheetViews>
  <sheetFormatPr defaultRowHeight="12.75" x14ac:dyDescent="0.2"/>
  <cols>
    <col min="1" max="2" width="32.85546875" customWidth="1"/>
    <col min="3" max="3" width="21.5703125" customWidth="1"/>
    <col min="4" max="4" width="23.140625" customWidth="1"/>
    <col min="5" max="7" width="43.42578125" customWidth="1"/>
    <col min="17" max="17" width="11.42578125" bestFit="1" customWidth="1"/>
    <col min="21" max="21" width="24.5703125" customWidth="1"/>
    <col min="25" max="25" width="11.42578125" bestFit="1" customWidth="1"/>
  </cols>
  <sheetData>
    <row r="1" spans="1:25" x14ac:dyDescent="0.2">
      <c r="A1" t="s">
        <v>547</v>
      </c>
      <c r="B1" s="3" t="s">
        <v>552</v>
      </c>
      <c r="C1" s="3" t="s">
        <v>520</v>
      </c>
      <c r="D1" s="3" t="s">
        <v>548</v>
      </c>
      <c r="E1" s="3" t="s">
        <v>521</v>
      </c>
      <c r="F1" s="3" t="s">
        <v>549</v>
      </c>
      <c r="G1" s="3" t="s">
        <v>550</v>
      </c>
      <c r="H1" s="3" t="s">
        <v>522</v>
      </c>
      <c r="I1" s="3" t="s">
        <v>522</v>
      </c>
      <c r="J1" s="3" t="s">
        <v>522</v>
      </c>
      <c r="K1" s="3" t="s">
        <v>522</v>
      </c>
      <c r="L1" s="3" t="s">
        <v>522</v>
      </c>
    </row>
    <row r="2" spans="1:25" ht="60" x14ac:dyDescent="0.3">
      <c r="A2" s="22" t="str">
        <f>iconList!B2</f>
        <v>c_Accessible</v>
      </c>
      <c r="B2" s="22">
        <v>5</v>
      </c>
      <c r="D2" s="19" t="str">
        <f>iconList!A2&amp;iconList!B2&amp;iconList!C2</f>
        <v>&amp;lt;icon type=&amp;quot;c_Accessible&amp;quot;&amp;gt;&amp;lt;/icon&amp;gt;</v>
      </c>
      <c r="E2" s="20" t="str">
        <f>iconList!B2</f>
        <v>c_Accessible</v>
      </c>
      <c r="F2" s="20"/>
      <c r="G2" s="20"/>
      <c r="H2" t="s">
        <v>406</v>
      </c>
      <c r="N2" t="str">
        <f t="shared" ref="N2:T2" si="0">CONCATENATE("&lt;",A$1,"&gt;",A2,"&lt;/",A$1,"&gt;")</f>
        <v>&lt;displayName&gt;c_Accessible&lt;/displayName&gt;</v>
      </c>
      <c r="O2" t="str">
        <f t="shared" si="0"/>
        <v>&lt;duration&gt;5&lt;/duration&gt;</v>
      </c>
      <c r="P2" t="str">
        <f t="shared" si="0"/>
        <v>&lt;type&gt;&lt;/type&gt;</v>
      </c>
      <c r="Q2" t="str">
        <f t="shared" si="0"/>
        <v>&lt;icon&gt;&amp;lt;icon type=&amp;quot;c_Accessible&amp;quot;&amp;gt;&amp;lt;/icon&amp;gt;&lt;/icon&gt;</v>
      </c>
      <c r="R2" t="str">
        <f t="shared" si="0"/>
        <v>&lt;text&gt;c_Accessible&lt;/text&gt;</v>
      </c>
      <c r="S2" t="str">
        <f t="shared" si="0"/>
        <v>&lt;changeFrom&gt;&lt;/changeFrom&gt;</v>
      </c>
      <c r="T2" t="str">
        <f t="shared" si="0"/>
        <v>&lt;changeTo&gt;&lt;/changeTo&gt;</v>
      </c>
      <c r="U2" t="str">
        <f>IF(H2&lt;&gt;"",CONCATENATE("&lt;",H$1,"&gt;",H2,".mp3","&lt;/",H$1,"&gt;"),"")</f>
        <v>&lt;mp3&gt;H239.mp3&lt;/mp3&gt;</v>
      </c>
      <c r="V2" t="str">
        <f>IF(I2&lt;&gt;"",CONCATENATE("&lt;",I$1,"&gt;",I2,".mp3","&lt;/",I$1,"&gt;"),"")</f>
        <v/>
      </c>
      <c r="W2" t="str">
        <f>IF(J2&lt;&gt;"",CONCATENATE("&lt;",J$1,"&gt;",J2,".mp3","&lt;/",J$1,"&gt;"),"")</f>
        <v/>
      </c>
      <c r="X2" t="str">
        <f>IF(K2&lt;&gt;"",CONCATENATE("&lt;",K$1,"&gt;",K2,".mp3","&lt;/",K$1,"&gt;"),"")</f>
        <v/>
      </c>
      <c r="Y2" t="str">
        <f>CONCATENATE("&lt;announcement&gt;",N2,O2,P2,Q2,R2,S2,T2,U2,V2,W2,X2,"&lt;/announcement&gt;")</f>
        <v>&lt;announcement&gt;&lt;displayName&gt;c_Accessible&lt;/displayName&gt;&lt;duration&gt;5&lt;/duration&gt;&lt;type&gt;&lt;/type&gt;&lt;icon&gt;&amp;lt;icon type=&amp;quot;c_Accessible&amp;quot;&amp;gt;&amp;lt;/icon&amp;gt;&lt;/icon&gt;&lt;text&gt;c_Accessible&lt;/text&gt;&lt;changeFrom&gt;&lt;/changeFrom&gt;&lt;changeTo&gt;&lt;/changeTo&gt;&lt;mp3&gt;H239.mp3&lt;/mp3&gt;&lt;/announcement&gt;</v>
      </c>
    </row>
    <row r="3" spans="1:25" ht="45" x14ac:dyDescent="0.3">
      <c r="A3" s="22" t="str">
        <f>iconList!B3</f>
        <v>c_Air</v>
      </c>
      <c r="B3" s="22">
        <v>5</v>
      </c>
      <c r="D3" s="19" t="str">
        <f>iconList!A3&amp;iconList!B3&amp;iconList!C3</f>
        <v>&amp;lt;icon type=&amp;quot;c_Air&amp;quot;&amp;gt;&amp;lt;/icon&amp;gt;</v>
      </c>
      <c r="E3" s="20" t="str">
        <f>iconList!B3</f>
        <v>c_Air</v>
      </c>
      <c r="F3" s="20"/>
      <c r="G3" s="20"/>
      <c r="H3" t="s">
        <v>451</v>
      </c>
      <c r="N3" t="str">
        <f t="shared" ref="N3:N8" si="1">CONCATENATE("&lt;",A$1,"&gt;",A3,"&lt;/",A$1,"&gt;")</f>
        <v>&lt;displayName&gt;c_Air&lt;/displayName&gt;</v>
      </c>
      <c r="O3" t="str">
        <f t="shared" ref="O3:O26" si="2">CONCATENATE("&lt;",B$1,"&gt;",B3,"&lt;/",B$1,"&gt;")</f>
        <v>&lt;duration&gt;5&lt;/duration&gt;</v>
      </c>
      <c r="P3" t="str">
        <f t="shared" ref="P3:P8" si="3">CONCATENATE("&lt;",C$1,"&gt;",C3,"&lt;/",C$1,"&gt;")</f>
        <v>&lt;type&gt;&lt;/type&gt;</v>
      </c>
      <c r="Q3" t="str">
        <f t="shared" ref="Q3:Q8" si="4">CONCATENATE("&lt;",D$1,"&gt;",D3,"&lt;/",D$1,"&gt;")</f>
        <v>&lt;icon&gt;&amp;lt;icon type=&amp;quot;c_Air&amp;quot;&amp;gt;&amp;lt;/icon&amp;gt;&lt;/icon&gt;</v>
      </c>
      <c r="R3" t="str">
        <f t="shared" ref="R3:R8" si="5">CONCATENATE("&lt;",E$1,"&gt;",E3,"&lt;/",E$1,"&gt;")</f>
        <v>&lt;text&gt;c_Air&lt;/text&gt;</v>
      </c>
      <c r="S3" t="str">
        <f t="shared" ref="S3:S8" si="6">CONCATENATE("&lt;",F$1,"&gt;",F3,"&lt;/",F$1,"&gt;")</f>
        <v>&lt;changeFrom&gt;&lt;/changeFrom&gt;</v>
      </c>
      <c r="T3" t="str">
        <f t="shared" ref="T3:T8" si="7">CONCATENATE("&lt;",G$1,"&gt;",G3,"&lt;/",G$1,"&gt;")</f>
        <v>&lt;changeTo&gt;&lt;/changeTo&gt;</v>
      </c>
      <c r="U3" t="str">
        <f t="shared" ref="U3:U8" si="8">IF(H3&lt;&gt;"",CONCATENATE("&lt;",H$1,"&gt;",H3,".mp3","&lt;/",H$1,"&gt;"),"")</f>
        <v>&lt;mp3&gt;H340.mp3&lt;/mp3&gt;</v>
      </c>
      <c r="V3" t="str">
        <f t="shared" ref="V3:V26" si="9">IF(I3&lt;&gt;"",CONCATENATE("&lt;",I$1,"&gt;",I3,".mp3","&lt;/",I$1,"&gt;"),"")</f>
        <v/>
      </c>
      <c r="W3" t="str">
        <f t="shared" ref="W3:W26" si="10">IF(J3&lt;&gt;"",CONCATENATE("&lt;",J$1,"&gt;",J3,".mp3","&lt;/",J$1,"&gt;"),"")</f>
        <v/>
      </c>
      <c r="X3" t="str">
        <f t="shared" ref="X3:X26" si="11">IF(K3&lt;&gt;"",CONCATENATE("&lt;",K$1,"&gt;",K3,".mp3","&lt;/",K$1,"&gt;"),"")</f>
        <v/>
      </c>
      <c r="Y3" t="str">
        <f t="shared" ref="Y3:Y26" si="12">CONCATENATE("&lt;announcement&gt;",N3,O3,P3,Q3,R3,S3,T3,U3,V3,W3,X3,"&lt;/announcement&gt;")</f>
        <v>&lt;announcement&gt;&lt;displayName&gt;c_Air&lt;/displayName&gt;&lt;duration&gt;5&lt;/duration&gt;&lt;type&gt;&lt;/type&gt;&lt;icon&gt;&amp;lt;icon type=&amp;quot;c_Air&amp;quot;&amp;gt;&amp;lt;/icon&amp;gt;&lt;/icon&gt;&lt;text&gt;c_Air&lt;/text&gt;&lt;changeFrom&gt;&lt;/changeFrom&gt;&lt;changeTo&gt;&lt;/changeTo&gt;&lt;mp3&gt;H340.mp3&lt;/mp3&gt;&lt;/announcement&gt;</v>
      </c>
    </row>
    <row r="4" spans="1:25" ht="45" x14ac:dyDescent="0.3">
      <c r="A4" s="22" t="str">
        <f>iconList!B4</f>
        <v>c_Bus</v>
      </c>
      <c r="B4" s="22">
        <v>5</v>
      </c>
      <c r="D4" s="19" t="str">
        <f>iconList!A4&amp;iconList!B4&amp;iconList!C4</f>
        <v>&amp;lt;icon type=&amp;quot;c_Bus&amp;quot;&amp;gt;&amp;lt;/icon&amp;gt;</v>
      </c>
      <c r="E4" s="20" t="str">
        <f>iconList!B4</f>
        <v>c_Bus</v>
      </c>
      <c r="F4" s="20"/>
      <c r="G4" s="20"/>
      <c r="H4" t="s">
        <v>408</v>
      </c>
      <c r="N4" t="str">
        <f t="shared" si="1"/>
        <v>&lt;displayName&gt;c_Bus&lt;/displayName&gt;</v>
      </c>
      <c r="O4" t="str">
        <f t="shared" si="2"/>
        <v>&lt;duration&gt;5&lt;/duration&gt;</v>
      </c>
      <c r="P4" t="str">
        <f t="shared" si="3"/>
        <v>&lt;type&gt;&lt;/type&gt;</v>
      </c>
      <c r="Q4" t="str">
        <f t="shared" si="4"/>
        <v>&lt;icon&gt;&amp;lt;icon type=&amp;quot;c_Bus&amp;quot;&amp;gt;&amp;lt;/icon&amp;gt;&lt;/icon&gt;</v>
      </c>
      <c r="R4" t="str">
        <f t="shared" si="5"/>
        <v>&lt;text&gt;c_Bus&lt;/text&gt;</v>
      </c>
      <c r="S4" t="str">
        <f t="shared" si="6"/>
        <v>&lt;changeFrom&gt;&lt;/changeFrom&gt;</v>
      </c>
      <c r="T4" t="str">
        <f t="shared" si="7"/>
        <v>&lt;changeTo&gt;&lt;/changeTo&gt;</v>
      </c>
      <c r="U4" t="str">
        <f t="shared" si="8"/>
        <v>&lt;mp3&gt;H240.mp3&lt;/mp3&gt;</v>
      </c>
      <c r="V4" t="str">
        <f t="shared" si="9"/>
        <v/>
      </c>
      <c r="W4" t="str">
        <f t="shared" si="10"/>
        <v/>
      </c>
      <c r="X4" t="str">
        <f t="shared" si="11"/>
        <v/>
      </c>
      <c r="Y4" t="str">
        <f t="shared" si="12"/>
        <v>&lt;announcement&gt;&lt;displayName&gt;c_Bus&lt;/displayName&gt;&lt;duration&gt;5&lt;/duration&gt;&lt;type&gt;&lt;/type&gt;&lt;icon&gt;&amp;lt;icon type=&amp;quot;c_Bus&amp;quot;&amp;gt;&amp;lt;/icon&amp;gt;&lt;/icon&gt;&lt;text&gt;c_Bus&lt;/text&gt;&lt;changeFrom&gt;&lt;/changeFrom&gt;&lt;changeTo&gt;&lt;/changeTo&gt;&lt;mp3&gt;H240.mp3&lt;/mp3&gt;&lt;/announcement&gt;</v>
      </c>
    </row>
    <row r="5" spans="1:25" ht="60" x14ac:dyDescent="0.3">
      <c r="A5" s="22" t="str">
        <f>iconList!B5</f>
        <v>c_Congestion</v>
      </c>
      <c r="B5" s="22">
        <v>5</v>
      </c>
      <c r="D5" s="19" t="str">
        <f>iconList!A5&amp;iconList!B5&amp;iconList!C5</f>
        <v>&amp;lt;icon type=&amp;quot;c_Congestion&amp;quot;&amp;gt;&amp;lt;/icon&amp;gt;</v>
      </c>
      <c r="E5" s="20" t="str">
        <f>iconList!B5</f>
        <v>c_Congestion</v>
      </c>
      <c r="F5" s="20"/>
      <c r="G5" s="20"/>
      <c r="H5" t="s">
        <v>415</v>
      </c>
      <c r="N5" t="str">
        <f t="shared" si="1"/>
        <v>&lt;displayName&gt;c_Congestion&lt;/displayName&gt;</v>
      </c>
      <c r="O5" t="str">
        <f t="shared" si="2"/>
        <v>&lt;duration&gt;5&lt;/duration&gt;</v>
      </c>
      <c r="P5" t="str">
        <f t="shared" si="3"/>
        <v>&lt;type&gt;&lt;/type&gt;</v>
      </c>
      <c r="Q5" t="str">
        <f t="shared" si="4"/>
        <v>&lt;icon&gt;&amp;lt;icon type=&amp;quot;c_Congestion&amp;quot;&amp;gt;&amp;lt;/icon&amp;gt;&lt;/icon&gt;</v>
      </c>
      <c r="R5" t="str">
        <f t="shared" si="5"/>
        <v>&lt;text&gt;c_Congestion&lt;/text&gt;</v>
      </c>
      <c r="S5" t="str">
        <f t="shared" si="6"/>
        <v>&lt;changeFrom&gt;&lt;/changeFrom&gt;</v>
      </c>
      <c r="T5" t="str">
        <f t="shared" si="7"/>
        <v>&lt;changeTo&gt;&lt;/changeTo&gt;</v>
      </c>
      <c r="U5" t="str">
        <f t="shared" si="8"/>
        <v>&lt;mp3&gt;H260.mp3&lt;/mp3&gt;</v>
      </c>
      <c r="V5" t="str">
        <f t="shared" si="9"/>
        <v/>
      </c>
      <c r="W5" t="str">
        <f t="shared" si="10"/>
        <v/>
      </c>
      <c r="X5" t="str">
        <f t="shared" si="11"/>
        <v/>
      </c>
      <c r="Y5" t="str">
        <f t="shared" si="12"/>
        <v>&lt;announcement&gt;&lt;displayName&gt;c_Congestion&lt;/displayName&gt;&lt;duration&gt;5&lt;/duration&gt;&lt;type&gt;&lt;/type&gt;&lt;icon&gt;&amp;lt;icon type=&amp;quot;c_Congestion&amp;quot;&amp;gt;&amp;lt;/icon&amp;gt;&lt;/icon&gt;&lt;text&gt;c_Congestion&lt;/text&gt;&lt;changeFrom&gt;&lt;/changeFrom&gt;&lt;changeTo&gt;&lt;/changeTo&gt;&lt;mp3&gt;H260.mp3&lt;/mp3&gt;&lt;/announcement&gt;</v>
      </c>
    </row>
    <row r="6" spans="1:25" ht="60" x14ac:dyDescent="0.3">
      <c r="A6" s="22" t="str">
        <f>iconList!B6</f>
        <v>c_Diversion</v>
      </c>
      <c r="B6" s="22">
        <v>5</v>
      </c>
      <c r="D6" s="19" t="str">
        <f>iconList!A6&amp;iconList!B6&amp;iconList!C6</f>
        <v>&amp;lt;icon type=&amp;quot;c_Diversion&amp;quot;&amp;gt;&amp;lt;/icon&amp;gt;</v>
      </c>
      <c r="E6" s="20" t="str">
        <f>iconList!B6</f>
        <v>c_Diversion</v>
      </c>
      <c r="F6" s="20"/>
      <c r="G6" s="20"/>
      <c r="H6" t="s">
        <v>309</v>
      </c>
      <c r="N6" t="str">
        <f t="shared" si="1"/>
        <v>&lt;displayName&gt;c_Diversion&lt;/displayName&gt;</v>
      </c>
      <c r="O6" t="str">
        <f t="shared" si="2"/>
        <v>&lt;duration&gt;5&lt;/duration&gt;</v>
      </c>
      <c r="P6" t="str">
        <f t="shared" si="3"/>
        <v>&lt;type&gt;&lt;/type&gt;</v>
      </c>
      <c r="Q6" t="str">
        <f t="shared" si="4"/>
        <v>&lt;icon&gt;&amp;lt;icon type=&amp;quot;c_Diversion&amp;quot;&amp;gt;&amp;lt;/icon&amp;gt;&lt;/icon&gt;</v>
      </c>
      <c r="R6" t="str">
        <f t="shared" si="5"/>
        <v>&lt;text&gt;c_Diversion&lt;/text&gt;</v>
      </c>
      <c r="S6" t="str">
        <f t="shared" si="6"/>
        <v>&lt;changeFrom&gt;&lt;/changeFrom&gt;</v>
      </c>
      <c r="T6" t="str">
        <f t="shared" si="7"/>
        <v>&lt;changeTo&gt;&lt;/changeTo&gt;</v>
      </c>
      <c r="U6" t="str">
        <f t="shared" si="8"/>
        <v>&lt;mp3&gt;H179.mp3&lt;/mp3&gt;</v>
      </c>
      <c r="V6" t="str">
        <f t="shared" si="9"/>
        <v/>
      </c>
      <c r="W6" t="str">
        <f t="shared" si="10"/>
        <v/>
      </c>
      <c r="X6" t="str">
        <f t="shared" si="11"/>
        <v/>
      </c>
      <c r="Y6" t="str">
        <f t="shared" si="12"/>
        <v>&lt;announcement&gt;&lt;displayName&gt;c_Diversion&lt;/displayName&gt;&lt;duration&gt;5&lt;/duration&gt;&lt;type&gt;&lt;/type&gt;&lt;icon&gt;&amp;lt;icon type=&amp;quot;c_Diversion&amp;quot;&amp;gt;&amp;lt;/icon&amp;gt;&lt;/icon&gt;&lt;text&gt;c_Diversion&lt;/text&gt;&lt;changeFrom&gt;&lt;/changeFrom&gt;&lt;changeTo&gt;&lt;/changeTo&gt;&lt;mp3&gt;H179.mp3&lt;/mp3&gt;&lt;/announcement&gt;</v>
      </c>
    </row>
    <row r="7" spans="1:25" ht="60" x14ac:dyDescent="0.3">
      <c r="A7" s="22" t="str">
        <f>iconList!B7</f>
        <v>c_Exclamation</v>
      </c>
      <c r="B7" s="22">
        <v>5</v>
      </c>
      <c r="D7" s="19" t="str">
        <f>iconList!A7&amp;iconList!B7&amp;iconList!C7</f>
        <v>&amp;lt;icon type=&amp;quot;c_Exclamation&amp;quot;&amp;gt;&amp;lt;/icon&amp;gt;</v>
      </c>
      <c r="E7" s="20" t="str">
        <f>iconList!B7</f>
        <v>c_Exclamation</v>
      </c>
      <c r="F7" s="20"/>
      <c r="G7" s="20"/>
      <c r="H7" t="s">
        <v>423</v>
      </c>
      <c r="N7" t="str">
        <f t="shared" si="1"/>
        <v>&lt;displayName&gt;c_Exclamation&lt;/displayName&gt;</v>
      </c>
      <c r="O7" t="str">
        <f t="shared" si="2"/>
        <v>&lt;duration&gt;5&lt;/duration&gt;</v>
      </c>
      <c r="P7" t="str">
        <f t="shared" si="3"/>
        <v>&lt;type&gt;&lt;/type&gt;</v>
      </c>
      <c r="Q7" t="str">
        <f t="shared" si="4"/>
        <v>&lt;icon&gt;&amp;lt;icon type=&amp;quot;c_Exclamation&amp;quot;&amp;gt;&amp;lt;/icon&amp;gt;&lt;/icon&gt;</v>
      </c>
      <c r="R7" t="str">
        <f t="shared" si="5"/>
        <v>&lt;text&gt;c_Exclamation&lt;/text&gt;</v>
      </c>
      <c r="S7" t="str">
        <f t="shared" si="6"/>
        <v>&lt;changeFrom&gt;&lt;/changeFrom&gt;</v>
      </c>
      <c r="T7" t="str">
        <f t="shared" si="7"/>
        <v>&lt;changeTo&gt;&lt;/changeTo&gt;</v>
      </c>
      <c r="U7" t="str">
        <f t="shared" si="8"/>
        <v>&lt;mp3&gt;H281.mp3&lt;/mp3&gt;</v>
      </c>
      <c r="V7" t="str">
        <f t="shared" si="9"/>
        <v/>
      </c>
      <c r="W7" t="str">
        <f t="shared" si="10"/>
        <v/>
      </c>
      <c r="X7" t="str">
        <f t="shared" si="11"/>
        <v/>
      </c>
      <c r="Y7" t="str">
        <f t="shared" si="12"/>
        <v>&lt;announcement&gt;&lt;displayName&gt;c_Exclamation&lt;/displayName&gt;&lt;duration&gt;5&lt;/duration&gt;&lt;type&gt;&lt;/type&gt;&lt;icon&gt;&amp;lt;icon type=&amp;quot;c_Exclamation&amp;quot;&amp;gt;&amp;lt;/icon&amp;gt;&lt;/icon&gt;&lt;text&gt;c_Exclamation&lt;/text&gt;&lt;changeFrom&gt;&lt;/changeFrom&gt;&lt;changeTo&gt;&lt;/changeTo&gt;&lt;mp3&gt;H281.mp3&lt;/mp3&gt;&lt;/announcement&gt;</v>
      </c>
    </row>
    <row r="8" spans="1:25" ht="45" x14ac:dyDescent="0.3">
      <c r="A8" s="22" t="str">
        <f>iconList!B8</f>
        <v>c_Ferry</v>
      </c>
      <c r="B8" s="22">
        <v>5</v>
      </c>
      <c r="D8" s="19" t="str">
        <f>iconList!A8&amp;iconList!B8&amp;iconList!C8</f>
        <v>&amp;lt;icon type=&amp;quot;c_Ferry&amp;quot;&amp;gt;&amp;lt;/icon&amp;gt;</v>
      </c>
      <c r="E8" s="20" t="str">
        <f>iconList!B8</f>
        <v>c_Ferry</v>
      </c>
      <c r="F8" s="20"/>
      <c r="G8" s="20"/>
      <c r="H8" t="s">
        <v>428</v>
      </c>
      <c r="N8" t="str">
        <f t="shared" si="1"/>
        <v>&lt;displayName&gt;c_Ferry&lt;/displayName&gt;</v>
      </c>
      <c r="O8" t="str">
        <f t="shared" si="2"/>
        <v>&lt;duration&gt;5&lt;/duration&gt;</v>
      </c>
      <c r="P8" t="str">
        <f t="shared" si="3"/>
        <v>&lt;type&gt;&lt;/type&gt;</v>
      </c>
      <c r="Q8" t="str">
        <f t="shared" si="4"/>
        <v>&lt;icon&gt;&amp;lt;icon type=&amp;quot;c_Ferry&amp;quot;&amp;gt;&amp;lt;/icon&amp;gt;&lt;/icon&gt;</v>
      </c>
      <c r="R8" t="str">
        <f t="shared" si="5"/>
        <v>&lt;text&gt;c_Ferry&lt;/text&gt;</v>
      </c>
      <c r="S8" t="str">
        <f t="shared" si="6"/>
        <v>&lt;changeFrom&gt;&lt;/changeFrom&gt;</v>
      </c>
      <c r="T8" t="str">
        <f t="shared" si="7"/>
        <v>&lt;changeTo&gt;&lt;/changeTo&gt;</v>
      </c>
      <c r="U8" t="str">
        <f t="shared" si="8"/>
        <v>&lt;mp3&gt;H284.mp3&lt;/mp3&gt;</v>
      </c>
      <c r="V8" t="str">
        <f t="shared" si="9"/>
        <v/>
      </c>
      <c r="W8" t="str">
        <f t="shared" si="10"/>
        <v/>
      </c>
      <c r="X8" t="str">
        <f t="shared" si="11"/>
        <v/>
      </c>
      <c r="Y8" t="str">
        <f t="shared" si="12"/>
        <v>&lt;announcement&gt;&lt;displayName&gt;c_Ferry&lt;/displayName&gt;&lt;duration&gt;5&lt;/duration&gt;&lt;type&gt;&lt;/type&gt;&lt;icon&gt;&amp;lt;icon type=&amp;quot;c_Ferry&amp;quot;&amp;gt;&amp;lt;/icon&amp;gt;&lt;/icon&gt;&lt;text&gt;c_Ferry&lt;/text&gt;&lt;changeFrom&gt;&lt;/changeFrom&gt;&lt;changeTo&gt;&lt;/changeTo&gt;&lt;mp3&gt;H284.mp3&lt;/mp3&gt;&lt;/announcement&gt;</v>
      </c>
    </row>
    <row r="9" spans="1:25" ht="60" x14ac:dyDescent="0.3">
      <c r="A9" s="22" t="str">
        <f>iconList!B9</f>
        <v>c_Funicular</v>
      </c>
      <c r="B9" s="22">
        <v>5</v>
      </c>
      <c r="D9" s="19" t="str">
        <f>iconList!A9&amp;iconList!B9&amp;iconList!C9</f>
        <v>&amp;lt;icon type=&amp;quot;c_Funicular&amp;quot;&amp;gt;&amp;lt;/icon&amp;gt;</v>
      </c>
      <c r="E9" s="20" t="str">
        <f>iconList!B9</f>
        <v>c_Funicular</v>
      </c>
      <c r="F9" s="20"/>
      <c r="G9" s="20"/>
      <c r="N9" t="str">
        <f t="shared" ref="N9:N26" si="13">CONCATENATE("&lt;",A$1,"&gt;",A9,"&lt;/",A$1,"&gt;")</f>
        <v>&lt;displayName&gt;c_Funicular&lt;/displayName&gt;</v>
      </c>
      <c r="O9" t="str">
        <f t="shared" si="2"/>
        <v>&lt;duration&gt;5&lt;/duration&gt;</v>
      </c>
      <c r="P9" t="str">
        <f t="shared" ref="P9:P26" si="14">CONCATENATE("&lt;",C$1,"&gt;",C9,"&lt;/",C$1,"&gt;")</f>
        <v>&lt;type&gt;&lt;/type&gt;</v>
      </c>
      <c r="Q9" t="str">
        <f t="shared" ref="Q9:Q26" si="15">CONCATENATE("&lt;",D$1,"&gt;",D9,"&lt;/",D$1,"&gt;")</f>
        <v>&lt;icon&gt;&amp;lt;icon type=&amp;quot;c_Funicular&amp;quot;&amp;gt;&amp;lt;/icon&amp;gt;&lt;/icon&gt;</v>
      </c>
      <c r="R9" t="str">
        <f t="shared" ref="R9:R26" si="16">CONCATENATE("&lt;",E$1,"&gt;",E9,"&lt;/",E$1,"&gt;")</f>
        <v>&lt;text&gt;c_Funicular&lt;/text&gt;</v>
      </c>
      <c r="S9" t="str">
        <f t="shared" ref="S9:S26" si="17">CONCATENATE("&lt;",F$1,"&gt;",F9,"&lt;/",F$1,"&gt;")</f>
        <v>&lt;changeFrom&gt;&lt;/changeFrom&gt;</v>
      </c>
      <c r="T9" t="str">
        <f t="shared" ref="T9:T26" si="18">CONCATENATE("&lt;",G$1,"&gt;",G9,"&lt;/",G$1,"&gt;")</f>
        <v>&lt;changeTo&gt;&lt;/changeTo&gt;</v>
      </c>
      <c r="U9" t="str">
        <f t="shared" ref="U9:U26" si="19">IF(H9&lt;&gt;"",CONCATENATE("&lt;",H$1,"&gt;",H9,".mp3","&lt;/",H$1,"&gt;"),"")</f>
        <v/>
      </c>
      <c r="V9" t="str">
        <f t="shared" si="9"/>
        <v/>
      </c>
      <c r="W9" t="str">
        <f t="shared" si="10"/>
        <v/>
      </c>
      <c r="X9" t="str">
        <f t="shared" si="11"/>
        <v/>
      </c>
      <c r="Y9" t="str">
        <f t="shared" si="12"/>
        <v>&lt;announcement&gt;&lt;displayName&gt;c_Funicular&lt;/displayName&gt;&lt;duration&gt;5&lt;/duration&gt;&lt;type&gt;&lt;/type&gt;&lt;icon&gt;&amp;lt;icon type=&amp;quot;c_Funicular&amp;quot;&amp;gt;&amp;lt;/icon&amp;gt;&lt;/icon&gt;&lt;text&gt;c_Funicular&lt;/text&gt;&lt;changeFrom&gt;&lt;/changeFrom&gt;&lt;changeTo&gt;&lt;/changeTo&gt;&lt;/announcement&gt;</v>
      </c>
    </row>
    <row r="10" spans="1:25" ht="60" x14ac:dyDescent="0.3">
      <c r="A10" s="22" t="str">
        <f>iconList!B10</f>
        <v>c_GoFurther</v>
      </c>
      <c r="B10" s="22">
        <v>5</v>
      </c>
      <c r="D10" s="19" t="str">
        <f>iconList!A10&amp;iconList!B10&amp;iconList!C10</f>
        <v>&amp;lt;icon type=&amp;quot;c_GoFurther&amp;quot;&amp;gt;&amp;lt;/icon&amp;gt;</v>
      </c>
      <c r="E10" s="20" t="str">
        <f>iconList!B10</f>
        <v>c_GoFurther</v>
      </c>
      <c r="F10" s="20"/>
      <c r="G10" s="20"/>
      <c r="H10" t="s">
        <v>419</v>
      </c>
      <c r="N10" t="str">
        <f t="shared" si="13"/>
        <v>&lt;displayName&gt;c_GoFurther&lt;/displayName&gt;</v>
      </c>
      <c r="O10" t="str">
        <f t="shared" si="2"/>
        <v>&lt;duration&gt;5&lt;/duration&gt;</v>
      </c>
      <c r="P10" t="str">
        <f t="shared" si="14"/>
        <v>&lt;type&gt;&lt;/type&gt;</v>
      </c>
      <c r="Q10" t="str">
        <f t="shared" si="15"/>
        <v>&lt;icon&gt;&amp;lt;icon type=&amp;quot;c_GoFurther&amp;quot;&amp;gt;&amp;lt;/icon&amp;gt;&lt;/icon&gt;</v>
      </c>
      <c r="R10" t="str">
        <f t="shared" si="16"/>
        <v>&lt;text&gt;c_GoFurther&lt;/text&gt;</v>
      </c>
      <c r="S10" t="str">
        <f t="shared" si="17"/>
        <v>&lt;changeFrom&gt;&lt;/changeFrom&gt;</v>
      </c>
      <c r="T10" t="str">
        <f t="shared" si="18"/>
        <v>&lt;changeTo&gt;&lt;/changeTo&gt;</v>
      </c>
      <c r="U10" t="str">
        <f t="shared" si="19"/>
        <v>&lt;mp3&gt;H279.mp3&lt;/mp3&gt;</v>
      </c>
      <c r="V10" t="str">
        <f t="shared" si="9"/>
        <v/>
      </c>
      <c r="W10" t="str">
        <f t="shared" si="10"/>
        <v/>
      </c>
      <c r="X10" t="str">
        <f t="shared" si="11"/>
        <v/>
      </c>
      <c r="Y10" t="str">
        <f t="shared" si="12"/>
        <v>&lt;announcement&gt;&lt;displayName&gt;c_GoFurther&lt;/displayName&gt;&lt;duration&gt;5&lt;/duration&gt;&lt;type&gt;&lt;/type&gt;&lt;icon&gt;&amp;lt;icon type=&amp;quot;c_GoFurther&amp;quot;&amp;gt;&amp;lt;/icon&amp;gt;&lt;/icon&gt;&lt;text&gt;c_GoFurther&lt;/text&gt;&lt;changeFrom&gt;&lt;/changeFrom&gt;&lt;changeTo&gt;&lt;/changeTo&gt;&lt;mp3&gt;H279.mp3&lt;/mp3&gt;&lt;/announcement&gt;</v>
      </c>
    </row>
    <row r="11" spans="1:25" ht="60" x14ac:dyDescent="0.3">
      <c r="A11" s="22" t="str">
        <f>iconList!B11</f>
        <v>c_Children</v>
      </c>
      <c r="B11" s="22">
        <v>5</v>
      </c>
      <c r="D11" s="19" t="str">
        <f>iconList!A11&amp;iconList!B11&amp;iconList!C11</f>
        <v>&amp;lt;icon type=&amp;quot;c_Children&amp;quot;&amp;gt;&amp;lt;/icon&amp;gt;</v>
      </c>
      <c r="E11" s="20" t="str">
        <f>iconList!B11</f>
        <v>c_Children</v>
      </c>
      <c r="F11" s="20"/>
      <c r="G11" s="20"/>
      <c r="N11" t="str">
        <f t="shared" si="13"/>
        <v>&lt;displayName&gt;c_Children&lt;/displayName&gt;</v>
      </c>
      <c r="O11" t="str">
        <f t="shared" si="2"/>
        <v>&lt;duration&gt;5&lt;/duration&gt;</v>
      </c>
      <c r="P11" t="str">
        <f t="shared" si="14"/>
        <v>&lt;type&gt;&lt;/type&gt;</v>
      </c>
      <c r="Q11" t="str">
        <f t="shared" si="15"/>
        <v>&lt;icon&gt;&amp;lt;icon type=&amp;quot;c_Children&amp;quot;&amp;gt;&amp;lt;/icon&amp;gt;&lt;/icon&gt;</v>
      </c>
      <c r="R11" t="str">
        <f t="shared" si="16"/>
        <v>&lt;text&gt;c_Children&lt;/text&gt;</v>
      </c>
      <c r="S11" t="str">
        <f t="shared" si="17"/>
        <v>&lt;changeFrom&gt;&lt;/changeFrom&gt;</v>
      </c>
      <c r="T11" t="str">
        <f t="shared" si="18"/>
        <v>&lt;changeTo&gt;&lt;/changeTo&gt;</v>
      </c>
      <c r="U11" t="str">
        <f t="shared" si="19"/>
        <v/>
      </c>
      <c r="V11" t="str">
        <f t="shared" si="9"/>
        <v/>
      </c>
      <c r="W11" t="str">
        <f t="shared" si="10"/>
        <v/>
      </c>
      <c r="X11" t="str">
        <f t="shared" si="11"/>
        <v/>
      </c>
      <c r="Y11" t="str">
        <f t="shared" si="12"/>
        <v>&lt;announcement&gt;&lt;displayName&gt;c_Children&lt;/displayName&gt;&lt;duration&gt;5&lt;/duration&gt;&lt;type&gt;&lt;/type&gt;&lt;icon&gt;&amp;lt;icon type=&amp;quot;c_Children&amp;quot;&amp;gt;&amp;lt;/icon&amp;gt;&lt;/icon&gt;&lt;text&gt;c_Children&lt;/text&gt;&lt;changeFrom&gt;&lt;/changeFrom&gt;&lt;changeTo&gt;&lt;/changeTo&gt;&lt;/announcement&gt;</v>
      </c>
    </row>
    <row r="12" spans="1:25" ht="45" x14ac:dyDescent="0.3">
      <c r="A12" s="22" t="str">
        <f>iconList!B12</f>
        <v>c_Info</v>
      </c>
      <c r="B12" s="22">
        <v>5</v>
      </c>
      <c r="D12" s="19" t="str">
        <f>iconList!A12&amp;iconList!B12&amp;iconList!C12</f>
        <v>&amp;lt;icon type=&amp;quot;c_Info&amp;quot;&amp;gt;&amp;lt;/icon&amp;gt;</v>
      </c>
      <c r="E12" s="20" t="str">
        <f>iconList!B12</f>
        <v>c_Info</v>
      </c>
      <c r="F12" s="20"/>
      <c r="G12" s="20"/>
      <c r="H12" t="s">
        <v>421</v>
      </c>
      <c r="N12" t="str">
        <f t="shared" si="13"/>
        <v>&lt;displayName&gt;c_Info&lt;/displayName&gt;</v>
      </c>
      <c r="O12" t="str">
        <f t="shared" si="2"/>
        <v>&lt;duration&gt;5&lt;/duration&gt;</v>
      </c>
      <c r="P12" t="str">
        <f t="shared" si="14"/>
        <v>&lt;type&gt;&lt;/type&gt;</v>
      </c>
      <c r="Q12" t="str">
        <f t="shared" si="15"/>
        <v>&lt;icon&gt;&amp;lt;icon type=&amp;quot;c_Info&amp;quot;&amp;gt;&amp;lt;/icon&amp;gt;&lt;/icon&gt;</v>
      </c>
      <c r="R12" t="str">
        <f t="shared" si="16"/>
        <v>&lt;text&gt;c_Info&lt;/text&gt;</v>
      </c>
      <c r="S12" t="str">
        <f t="shared" si="17"/>
        <v>&lt;changeFrom&gt;&lt;/changeFrom&gt;</v>
      </c>
      <c r="T12" t="str">
        <f t="shared" si="18"/>
        <v>&lt;changeTo&gt;&lt;/changeTo&gt;</v>
      </c>
      <c r="U12" t="str">
        <f t="shared" si="19"/>
        <v>&lt;mp3&gt;H280.mp3&lt;/mp3&gt;</v>
      </c>
      <c r="V12" t="str">
        <f t="shared" si="9"/>
        <v/>
      </c>
      <c r="W12" t="str">
        <f t="shared" si="10"/>
        <v/>
      </c>
      <c r="X12" t="str">
        <f t="shared" si="11"/>
        <v/>
      </c>
      <c r="Y12" t="str">
        <f t="shared" si="12"/>
        <v>&lt;announcement&gt;&lt;displayName&gt;c_Info&lt;/displayName&gt;&lt;duration&gt;5&lt;/duration&gt;&lt;type&gt;&lt;/type&gt;&lt;icon&gt;&amp;lt;icon type=&amp;quot;c_Info&amp;quot;&amp;gt;&amp;lt;/icon&amp;gt;&lt;/icon&gt;&lt;text&gt;c_Info&lt;/text&gt;&lt;changeFrom&gt;&lt;/changeFrom&gt;&lt;changeTo&gt;&lt;/changeTo&gt;&lt;mp3&gt;H280.mp3&lt;/mp3&gt;&lt;/announcement&gt;</v>
      </c>
    </row>
    <row r="13" spans="1:25" ht="60" x14ac:dyDescent="0.3">
      <c r="A13" s="22" t="str">
        <f>iconList!B13</f>
        <v>c_Luggage</v>
      </c>
      <c r="B13" s="22">
        <v>5</v>
      </c>
      <c r="C13" s="3"/>
      <c r="D13" s="19" t="str">
        <f>iconList!A13&amp;iconList!B13&amp;iconList!C13</f>
        <v>&amp;lt;icon type=&amp;quot;c_Luggage&amp;quot;&amp;gt;&amp;lt;/icon&amp;gt;</v>
      </c>
      <c r="E13" s="20" t="str">
        <f>iconList!B13</f>
        <v>c_Luggage</v>
      </c>
      <c r="F13">
        <v>6.8</v>
      </c>
      <c r="G13" s="3">
        <v>7</v>
      </c>
      <c r="N13" t="str">
        <f t="shared" si="13"/>
        <v>&lt;displayName&gt;c_Luggage&lt;/displayName&gt;</v>
      </c>
      <c r="O13" t="str">
        <f t="shared" si="2"/>
        <v>&lt;duration&gt;5&lt;/duration&gt;</v>
      </c>
      <c r="P13" t="str">
        <f t="shared" si="14"/>
        <v>&lt;type&gt;&lt;/type&gt;</v>
      </c>
      <c r="Q13" t="str">
        <f t="shared" si="15"/>
        <v>&lt;icon&gt;&amp;lt;icon type=&amp;quot;c_Luggage&amp;quot;&amp;gt;&amp;lt;/icon&amp;gt;&lt;/icon&gt;</v>
      </c>
      <c r="R13" t="str">
        <f t="shared" si="16"/>
        <v>&lt;text&gt;c_Luggage&lt;/text&gt;</v>
      </c>
      <c r="S13" t="str">
        <f t="shared" si="17"/>
        <v>&lt;changeFrom&gt;6,8&lt;/changeFrom&gt;</v>
      </c>
      <c r="T13" t="str">
        <f t="shared" si="18"/>
        <v>&lt;changeTo&gt;7&lt;/changeTo&gt;</v>
      </c>
      <c r="U13" t="str">
        <f t="shared" si="19"/>
        <v/>
      </c>
      <c r="V13" t="str">
        <f t="shared" si="9"/>
        <v/>
      </c>
      <c r="W13" t="str">
        <f t="shared" si="10"/>
        <v/>
      </c>
      <c r="X13" t="str">
        <f t="shared" si="11"/>
        <v/>
      </c>
      <c r="Y13" t="str">
        <f t="shared" si="12"/>
        <v>&lt;announcement&gt;&lt;displayName&gt;c_Luggage&lt;/displayName&gt;&lt;duration&gt;5&lt;/duration&gt;&lt;type&gt;&lt;/type&gt;&lt;icon&gt;&amp;lt;icon type=&amp;quot;c_Luggage&amp;quot;&amp;gt;&amp;lt;/icon&amp;gt;&lt;/icon&gt;&lt;text&gt;c_Luggage&lt;/text&gt;&lt;changeFrom&gt;6,8&lt;/changeFrom&gt;&lt;changeTo&gt;7&lt;/changeTo&gt;&lt;/announcement&gt;</v>
      </c>
    </row>
    <row r="14" spans="1:25" ht="45" x14ac:dyDescent="0.3">
      <c r="A14" s="22" t="str">
        <f>iconList!B14</f>
        <v>c_Night</v>
      </c>
      <c r="B14" s="22">
        <v>5</v>
      </c>
      <c r="C14" s="3"/>
      <c r="D14" s="19" t="str">
        <f>iconList!A14&amp;iconList!B14&amp;iconList!C14</f>
        <v>&amp;lt;icon type=&amp;quot;c_Night&amp;quot;&amp;gt;&amp;lt;/icon&amp;gt;</v>
      </c>
      <c r="E14" s="20" t="str">
        <f>iconList!B14</f>
        <v>c_Night</v>
      </c>
      <c r="F14">
        <v>123</v>
      </c>
      <c r="G14" s="3" t="s">
        <v>551</v>
      </c>
      <c r="N14" t="str">
        <f t="shared" si="13"/>
        <v>&lt;displayName&gt;c_Night&lt;/displayName&gt;</v>
      </c>
      <c r="O14" t="str">
        <f t="shared" si="2"/>
        <v>&lt;duration&gt;5&lt;/duration&gt;</v>
      </c>
      <c r="P14" t="str">
        <f t="shared" si="14"/>
        <v>&lt;type&gt;&lt;/type&gt;</v>
      </c>
      <c r="Q14" t="str">
        <f t="shared" si="15"/>
        <v>&lt;icon&gt;&amp;lt;icon type=&amp;quot;c_Night&amp;quot;&amp;gt;&amp;lt;/icon&amp;gt;&lt;/icon&gt;</v>
      </c>
      <c r="R14" t="str">
        <f t="shared" si="16"/>
        <v>&lt;text&gt;c_Night&lt;/text&gt;</v>
      </c>
      <c r="S14" t="str">
        <f t="shared" si="17"/>
        <v>&lt;changeFrom&gt;123&lt;/changeFrom&gt;</v>
      </c>
      <c r="T14" t="str">
        <f t="shared" si="18"/>
        <v>&lt;changeTo&gt;XS2&lt;/changeTo&gt;</v>
      </c>
      <c r="U14" t="str">
        <f t="shared" si="19"/>
        <v/>
      </c>
      <c r="V14" t="str">
        <f t="shared" si="9"/>
        <v/>
      </c>
      <c r="W14" t="str">
        <f t="shared" si="10"/>
        <v/>
      </c>
      <c r="X14" t="str">
        <f t="shared" si="11"/>
        <v/>
      </c>
      <c r="Y14" t="str">
        <f t="shared" si="12"/>
        <v>&lt;announcement&gt;&lt;displayName&gt;c_Night&lt;/displayName&gt;&lt;duration&gt;5&lt;/duration&gt;&lt;type&gt;&lt;/type&gt;&lt;icon&gt;&amp;lt;icon type=&amp;quot;c_Night&amp;quot;&amp;gt;&amp;lt;/icon&amp;gt;&lt;/icon&gt;&lt;text&gt;c_Night&lt;/text&gt;&lt;changeFrom&gt;123&lt;/changeFrom&gt;&lt;changeTo&gt;XS2&lt;/changeTo&gt;&lt;/announcement&gt;</v>
      </c>
    </row>
    <row r="15" spans="1:25" ht="60" x14ac:dyDescent="0.3">
      <c r="A15" s="22" t="str">
        <f>iconList!B15</f>
        <v>c_NightInv</v>
      </c>
      <c r="B15" s="22">
        <v>5</v>
      </c>
      <c r="D15" s="19" t="str">
        <f>iconList!A15&amp;iconList!B15&amp;iconList!C15</f>
        <v>&amp;lt;icon type=&amp;quot;c_NightInv&amp;quot;&amp;gt;&amp;lt;/icon&amp;gt;</v>
      </c>
      <c r="E15" s="20" t="str">
        <f>iconList!B15</f>
        <v>c_NightInv</v>
      </c>
      <c r="N15" t="str">
        <f t="shared" si="13"/>
        <v>&lt;displayName&gt;c_NightInv&lt;/displayName&gt;</v>
      </c>
      <c r="O15" t="str">
        <f t="shared" si="2"/>
        <v>&lt;duration&gt;5&lt;/duration&gt;</v>
      </c>
      <c r="P15" t="str">
        <f t="shared" si="14"/>
        <v>&lt;type&gt;&lt;/type&gt;</v>
      </c>
      <c r="Q15" t="str">
        <f t="shared" si="15"/>
        <v>&lt;icon&gt;&amp;lt;icon type=&amp;quot;c_NightInv&amp;quot;&amp;gt;&amp;lt;/icon&amp;gt;&lt;/icon&gt;</v>
      </c>
      <c r="R15" t="str">
        <f t="shared" si="16"/>
        <v>&lt;text&gt;c_NightInv&lt;/text&gt;</v>
      </c>
      <c r="S15" t="str">
        <f t="shared" si="17"/>
        <v>&lt;changeFrom&gt;&lt;/changeFrom&gt;</v>
      </c>
      <c r="T15" t="str">
        <f t="shared" si="18"/>
        <v>&lt;changeTo&gt;&lt;/changeTo&gt;</v>
      </c>
      <c r="U15" t="str">
        <f t="shared" si="19"/>
        <v/>
      </c>
      <c r="V15" t="str">
        <f t="shared" si="9"/>
        <v/>
      </c>
      <c r="W15" t="str">
        <f t="shared" si="10"/>
        <v/>
      </c>
      <c r="X15" t="str">
        <f t="shared" si="11"/>
        <v/>
      </c>
      <c r="Y15" t="str">
        <f t="shared" si="12"/>
        <v>&lt;announcement&gt;&lt;displayName&gt;c_NightInv&lt;/displayName&gt;&lt;duration&gt;5&lt;/duration&gt;&lt;type&gt;&lt;/type&gt;&lt;icon&gt;&amp;lt;icon type=&amp;quot;c_NightInv&amp;quot;&amp;gt;&amp;lt;/icon&amp;gt;&lt;/icon&gt;&lt;text&gt;c_NightInv&lt;/text&gt;&lt;changeFrom&gt;&lt;/changeFrom&gt;&lt;changeTo&gt;&lt;/changeTo&gt;&lt;/announcement&gt;</v>
      </c>
    </row>
    <row r="16" spans="1:25" ht="60" x14ac:dyDescent="0.3">
      <c r="A16" s="22" t="str">
        <f>iconList!B16</f>
        <v>c_NoFood</v>
      </c>
      <c r="B16" s="22">
        <v>5</v>
      </c>
      <c r="D16" s="19" t="str">
        <f>iconList!A16&amp;iconList!B16&amp;iconList!C16</f>
        <v>&amp;lt;icon type=&amp;quot;c_NoFood&amp;quot;&amp;gt;&amp;lt;/icon&amp;gt;</v>
      </c>
      <c r="E16" s="20" t="str">
        <f>iconList!B16</f>
        <v>c_NoFood</v>
      </c>
      <c r="N16" t="str">
        <f t="shared" si="13"/>
        <v>&lt;displayName&gt;c_NoFood&lt;/displayName&gt;</v>
      </c>
      <c r="O16" t="str">
        <f t="shared" si="2"/>
        <v>&lt;duration&gt;5&lt;/duration&gt;</v>
      </c>
      <c r="P16" t="str">
        <f t="shared" si="14"/>
        <v>&lt;type&gt;&lt;/type&gt;</v>
      </c>
      <c r="Q16" t="str">
        <f t="shared" si="15"/>
        <v>&lt;icon&gt;&amp;lt;icon type=&amp;quot;c_NoFood&amp;quot;&amp;gt;&amp;lt;/icon&amp;gt;&lt;/icon&gt;</v>
      </c>
      <c r="R16" t="str">
        <f t="shared" si="16"/>
        <v>&lt;text&gt;c_NoFood&lt;/text&gt;</v>
      </c>
      <c r="S16" t="str">
        <f t="shared" si="17"/>
        <v>&lt;changeFrom&gt;&lt;/changeFrom&gt;</v>
      </c>
      <c r="T16" t="str">
        <f t="shared" si="18"/>
        <v>&lt;changeTo&gt;&lt;/changeTo&gt;</v>
      </c>
      <c r="U16" t="str">
        <f t="shared" si="19"/>
        <v/>
      </c>
      <c r="V16" t="str">
        <f t="shared" si="9"/>
        <v/>
      </c>
      <c r="W16" t="str">
        <f t="shared" si="10"/>
        <v/>
      </c>
      <c r="X16" t="str">
        <f t="shared" si="11"/>
        <v/>
      </c>
      <c r="Y16" t="str">
        <f t="shared" si="12"/>
        <v>&lt;announcement&gt;&lt;displayName&gt;c_NoFood&lt;/displayName&gt;&lt;duration&gt;5&lt;/duration&gt;&lt;type&gt;&lt;/type&gt;&lt;icon&gt;&amp;lt;icon type=&amp;quot;c_NoFood&amp;quot;&amp;gt;&amp;lt;/icon&amp;gt;&lt;/icon&gt;&lt;text&gt;c_NoFood&lt;/text&gt;&lt;changeFrom&gt;&lt;/changeFrom&gt;&lt;changeTo&gt;&lt;/changeTo&gt;&lt;/announcement&gt;</v>
      </c>
    </row>
    <row r="17" spans="1:25" ht="60" x14ac:dyDescent="0.3">
      <c r="A17" s="22" t="str">
        <f>iconList!B17</f>
        <v>c_NoFoodInv</v>
      </c>
      <c r="B17" s="22">
        <v>5</v>
      </c>
      <c r="D17" s="19" t="str">
        <f>iconList!A17&amp;iconList!B17&amp;iconList!C17</f>
        <v>&amp;lt;icon type=&amp;quot;c_NoFoodInv&amp;quot;&amp;gt;&amp;lt;/icon&amp;gt;</v>
      </c>
      <c r="E17" s="20" t="str">
        <f>iconList!B17</f>
        <v>c_NoFoodInv</v>
      </c>
      <c r="N17" t="str">
        <f t="shared" si="13"/>
        <v>&lt;displayName&gt;c_NoFoodInv&lt;/displayName&gt;</v>
      </c>
      <c r="O17" t="str">
        <f t="shared" si="2"/>
        <v>&lt;duration&gt;5&lt;/duration&gt;</v>
      </c>
      <c r="P17" t="str">
        <f t="shared" si="14"/>
        <v>&lt;type&gt;&lt;/type&gt;</v>
      </c>
      <c r="Q17" t="str">
        <f t="shared" si="15"/>
        <v>&lt;icon&gt;&amp;lt;icon type=&amp;quot;c_NoFoodInv&amp;quot;&amp;gt;&amp;lt;/icon&amp;gt;&lt;/icon&gt;</v>
      </c>
      <c r="R17" t="str">
        <f t="shared" si="16"/>
        <v>&lt;text&gt;c_NoFoodInv&lt;/text&gt;</v>
      </c>
      <c r="S17" t="str">
        <f t="shared" si="17"/>
        <v>&lt;changeFrom&gt;&lt;/changeFrom&gt;</v>
      </c>
      <c r="T17" t="str">
        <f t="shared" si="18"/>
        <v>&lt;changeTo&gt;&lt;/changeTo&gt;</v>
      </c>
      <c r="U17" t="str">
        <f t="shared" si="19"/>
        <v/>
      </c>
      <c r="V17" t="str">
        <f t="shared" si="9"/>
        <v/>
      </c>
      <c r="W17" t="str">
        <f t="shared" si="10"/>
        <v/>
      </c>
      <c r="X17" t="str">
        <f t="shared" si="11"/>
        <v/>
      </c>
      <c r="Y17" t="str">
        <f t="shared" si="12"/>
        <v>&lt;announcement&gt;&lt;displayName&gt;c_NoFoodInv&lt;/displayName&gt;&lt;duration&gt;5&lt;/duration&gt;&lt;type&gt;&lt;/type&gt;&lt;icon&gt;&amp;lt;icon type=&amp;quot;c_NoFoodInv&amp;quot;&amp;gt;&amp;lt;/icon&amp;gt;&lt;/icon&gt;&lt;text&gt;c_NoFoodInv&lt;/text&gt;&lt;changeFrom&gt;&lt;/changeFrom&gt;&lt;changeTo&gt;&lt;/changeTo&gt;&lt;/announcement&gt;</v>
      </c>
    </row>
    <row r="18" spans="1:25" ht="45" x14ac:dyDescent="0.3">
      <c r="A18" s="22" t="str">
        <f>iconList!B18</f>
        <v>c_Pid</v>
      </c>
      <c r="B18" s="22">
        <v>5</v>
      </c>
      <c r="D18" s="19" t="str">
        <f>iconList!A18&amp;iconList!B18&amp;iconList!C18</f>
        <v>&amp;lt;icon type=&amp;quot;c_Pid&amp;quot;&amp;gt;&amp;lt;/icon&amp;gt;</v>
      </c>
      <c r="E18" s="20" t="str">
        <f>iconList!B18</f>
        <v>c_Pid</v>
      </c>
      <c r="N18" t="str">
        <f t="shared" si="13"/>
        <v>&lt;displayName&gt;c_Pid&lt;/displayName&gt;</v>
      </c>
      <c r="O18" t="str">
        <f t="shared" si="2"/>
        <v>&lt;duration&gt;5&lt;/duration&gt;</v>
      </c>
      <c r="P18" t="str">
        <f t="shared" si="14"/>
        <v>&lt;type&gt;&lt;/type&gt;</v>
      </c>
      <c r="Q18" t="str">
        <f t="shared" si="15"/>
        <v>&lt;icon&gt;&amp;lt;icon type=&amp;quot;c_Pid&amp;quot;&amp;gt;&amp;lt;/icon&amp;gt;&lt;/icon&gt;</v>
      </c>
      <c r="R18" t="str">
        <f t="shared" si="16"/>
        <v>&lt;text&gt;c_Pid&lt;/text&gt;</v>
      </c>
      <c r="S18" t="str">
        <f t="shared" si="17"/>
        <v>&lt;changeFrom&gt;&lt;/changeFrom&gt;</v>
      </c>
      <c r="T18" t="str">
        <f t="shared" si="18"/>
        <v>&lt;changeTo&gt;&lt;/changeTo&gt;</v>
      </c>
      <c r="U18" t="str">
        <f t="shared" si="19"/>
        <v/>
      </c>
      <c r="V18" t="str">
        <f t="shared" si="9"/>
        <v/>
      </c>
      <c r="W18" t="str">
        <f t="shared" si="10"/>
        <v/>
      </c>
      <c r="X18" t="str">
        <f t="shared" si="11"/>
        <v/>
      </c>
      <c r="Y18" t="str">
        <f t="shared" si="12"/>
        <v>&lt;announcement&gt;&lt;displayName&gt;c_Pid&lt;/displayName&gt;&lt;duration&gt;5&lt;/duration&gt;&lt;type&gt;&lt;/type&gt;&lt;icon&gt;&amp;lt;icon type=&amp;quot;c_Pid&amp;quot;&amp;gt;&amp;lt;/icon&amp;gt;&lt;/icon&gt;&lt;text&gt;c_Pid&lt;/text&gt;&lt;changeFrom&gt;&lt;/changeFrom&gt;&lt;changeTo&gt;&lt;/changeTo&gt;&lt;/announcement&gt;</v>
      </c>
    </row>
    <row r="19" spans="1:25" ht="45" x14ac:dyDescent="0.3">
      <c r="A19" s="22" t="str">
        <f>iconList!B19</f>
        <v>c_Pram</v>
      </c>
      <c r="B19" s="22">
        <v>5</v>
      </c>
      <c r="D19" s="19" t="str">
        <f>iconList!A19&amp;iconList!B19&amp;iconList!C19</f>
        <v>&amp;lt;icon type=&amp;quot;c_Pram&amp;quot;&amp;gt;&amp;lt;/icon&amp;gt;</v>
      </c>
      <c r="E19" s="20" t="str">
        <f>iconList!B19</f>
        <v>c_Pram</v>
      </c>
      <c r="N19" t="str">
        <f t="shared" si="13"/>
        <v>&lt;displayName&gt;c_Pram&lt;/displayName&gt;</v>
      </c>
      <c r="O19" t="str">
        <f t="shared" si="2"/>
        <v>&lt;duration&gt;5&lt;/duration&gt;</v>
      </c>
      <c r="P19" t="str">
        <f t="shared" si="14"/>
        <v>&lt;type&gt;&lt;/type&gt;</v>
      </c>
      <c r="Q19" t="str">
        <f t="shared" si="15"/>
        <v>&lt;icon&gt;&amp;lt;icon type=&amp;quot;c_Pram&amp;quot;&amp;gt;&amp;lt;/icon&amp;gt;&lt;/icon&gt;</v>
      </c>
      <c r="R19" t="str">
        <f t="shared" si="16"/>
        <v>&lt;text&gt;c_Pram&lt;/text&gt;</v>
      </c>
      <c r="S19" t="str">
        <f t="shared" si="17"/>
        <v>&lt;changeFrom&gt;&lt;/changeFrom&gt;</v>
      </c>
      <c r="T19" t="str">
        <f t="shared" si="18"/>
        <v>&lt;changeTo&gt;&lt;/changeTo&gt;</v>
      </c>
      <c r="U19" t="str">
        <f t="shared" si="19"/>
        <v/>
      </c>
      <c r="V19" t="str">
        <f t="shared" si="9"/>
        <v/>
      </c>
      <c r="W19" t="str">
        <f t="shared" si="10"/>
        <v/>
      </c>
      <c r="X19" t="str">
        <f t="shared" si="11"/>
        <v/>
      </c>
      <c r="Y19" t="str">
        <f t="shared" si="12"/>
        <v>&lt;announcement&gt;&lt;displayName&gt;c_Pram&lt;/displayName&gt;&lt;duration&gt;5&lt;/duration&gt;&lt;type&gt;&lt;/type&gt;&lt;icon&gt;&amp;lt;icon type=&amp;quot;c_Pram&amp;quot;&amp;gt;&amp;lt;/icon&amp;gt;&lt;/icon&gt;&lt;text&gt;c_Pram&lt;/text&gt;&lt;changeFrom&gt;&lt;/changeFrom&gt;&lt;changeTo&gt;&lt;/changeTo&gt;&lt;/announcement&gt;</v>
      </c>
    </row>
    <row r="20" spans="1:25" ht="60" x14ac:dyDescent="0.3">
      <c r="A20" s="22" t="str">
        <f>iconList!B20</f>
        <v>c_ReplacementService</v>
      </c>
      <c r="B20" s="22">
        <v>5</v>
      </c>
      <c r="D20" s="19" t="str">
        <f>iconList!A20&amp;iconList!B20&amp;iconList!C20</f>
        <v>&amp;lt;icon type=&amp;quot;c_ReplacementService&amp;quot;&amp;gt;&amp;lt;/icon&amp;gt;</v>
      </c>
      <c r="E20" s="20" t="str">
        <f>iconList!B20</f>
        <v>c_ReplacementService</v>
      </c>
      <c r="F20" s="14"/>
      <c r="G20" s="14"/>
      <c r="H20" t="s">
        <v>453</v>
      </c>
      <c r="N20" t="str">
        <f t="shared" si="13"/>
        <v>&lt;displayName&gt;c_ReplacementService&lt;/displayName&gt;</v>
      </c>
      <c r="O20" t="str">
        <f t="shared" si="2"/>
        <v>&lt;duration&gt;5&lt;/duration&gt;</v>
      </c>
      <c r="P20" t="str">
        <f t="shared" si="14"/>
        <v>&lt;type&gt;&lt;/type&gt;</v>
      </c>
      <c r="Q20" t="str">
        <f t="shared" si="15"/>
        <v>&lt;icon&gt;&amp;lt;icon type=&amp;quot;c_ReplacementService&amp;quot;&amp;gt;&amp;lt;/icon&amp;gt;&lt;/icon&gt;</v>
      </c>
      <c r="R20" t="str">
        <f t="shared" si="16"/>
        <v>&lt;text&gt;c_ReplacementService&lt;/text&gt;</v>
      </c>
      <c r="S20" t="str">
        <f t="shared" si="17"/>
        <v>&lt;changeFrom&gt;&lt;/changeFrom&gt;</v>
      </c>
      <c r="T20" t="str">
        <f t="shared" si="18"/>
        <v>&lt;changeTo&gt;&lt;/changeTo&gt;</v>
      </c>
      <c r="U20" t="str">
        <f t="shared" si="19"/>
        <v>&lt;mp3&gt;H350.mp3&lt;/mp3&gt;</v>
      </c>
      <c r="V20" t="str">
        <f t="shared" si="9"/>
        <v/>
      </c>
      <c r="W20" t="str">
        <f t="shared" si="10"/>
        <v/>
      </c>
      <c r="X20" t="str">
        <f t="shared" si="11"/>
        <v/>
      </c>
      <c r="Y20" t="str">
        <f t="shared" si="12"/>
        <v>&lt;announcement&gt;&lt;displayName&gt;c_ReplacementService&lt;/displayName&gt;&lt;duration&gt;5&lt;/duration&gt;&lt;type&gt;&lt;/type&gt;&lt;icon&gt;&amp;lt;icon type=&amp;quot;c_ReplacementService&amp;quot;&amp;gt;&amp;lt;/icon&amp;gt;&lt;/icon&gt;&lt;text&gt;c_ReplacementService&lt;/text&gt;&lt;changeFrom&gt;&lt;/changeFrom&gt;&lt;changeTo&gt;&lt;/changeTo&gt;&lt;mp3&gt;H350.mp3&lt;/mp3&gt;&lt;/announcement&gt;</v>
      </c>
    </row>
    <row r="21" spans="1:25" ht="60" x14ac:dyDescent="0.3">
      <c r="A21" s="22" t="str">
        <f>iconList!B21</f>
        <v>c_RequestStop</v>
      </c>
      <c r="B21" s="22">
        <v>5</v>
      </c>
      <c r="D21" s="19" t="str">
        <f>iconList!A21&amp;iconList!B21&amp;iconList!C21</f>
        <v>&amp;lt;icon type=&amp;quot;c_RequestStop&amp;quot;&amp;gt;&amp;lt;/icon&amp;gt;</v>
      </c>
      <c r="E21" s="20" t="str">
        <f>iconList!B21</f>
        <v>c_RequestStop</v>
      </c>
      <c r="F21" s="14"/>
      <c r="G21" s="14"/>
      <c r="H21" t="s">
        <v>348</v>
      </c>
      <c r="N21" t="str">
        <f t="shared" si="13"/>
        <v>&lt;displayName&gt;c_RequestStop&lt;/displayName&gt;</v>
      </c>
      <c r="O21" t="str">
        <f t="shared" si="2"/>
        <v>&lt;duration&gt;5&lt;/duration&gt;</v>
      </c>
      <c r="P21" t="str">
        <f t="shared" si="14"/>
        <v>&lt;type&gt;&lt;/type&gt;</v>
      </c>
      <c r="Q21" t="str">
        <f t="shared" si="15"/>
        <v>&lt;icon&gt;&amp;lt;icon type=&amp;quot;c_RequestStop&amp;quot;&amp;gt;&amp;lt;/icon&amp;gt;&lt;/icon&gt;</v>
      </c>
      <c r="R21" t="str">
        <f t="shared" si="16"/>
        <v>&lt;text&gt;c_RequestStop&lt;/text&gt;</v>
      </c>
      <c r="S21" t="str">
        <f t="shared" si="17"/>
        <v>&lt;changeFrom&gt;&lt;/changeFrom&gt;</v>
      </c>
      <c r="T21" t="str">
        <f t="shared" si="18"/>
        <v>&lt;changeTo&gt;&lt;/changeTo&gt;</v>
      </c>
      <c r="U21" t="str">
        <f t="shared" si="19"/>
        <v>&lt;mp3&gt;H205.mp3&lt;/mp3&gt;</v>
      </c>
      <c r="V21" t="str">
        <f t="shared" si="9"/>
        <v/>
      </c>
      <c r="W21" t="str">
        <f t="shared" si="10"/>
        <v/>
      </c>
      <c r="X21" t="str">
        <f t="shared" si="11"/>
        <v/>
      </c>
      <c r="Y21" t="str">
        <f t="shared" si="12"/>
        <v>&lt;announcement&gt;&lt;displayName&gt;c_RequestStop&lt;/displayName&gt;&lt;duration&gt;5&lt;/duration&gt;&lt;type&gt;&lt;/type&gt;&lt;icon&gt;&amp;lt;icon type=&amp;quot;c_RequestStop&amp;quot;&amp;gt;&amp;lt;/icon&amp;gt;&lt;/icon&gt;&lt;text&gt;c_RequestStop&lt;/text&gt;&lt;changeFrom&gt;&lt;/changeFrom&gt;&lt;changeTo&gt;&lt;/changeTo&gt;&lt;mp3&gt;H205.mp3&lt;/mp3&gt;&lt;/announcement&gt;</v>
      </c>
    </row>
    <row r="22" spans="1:25" ht="60" x14ac:dyDescent="0.3">
      <c r="A22" s="22" t="str">
        <f>iconList!B22</f>
        <v>c_RequestStopInv</v>
      </c>
      <c r="B22" s="22">
        <v>5</v>
      </c>
      <c r="D22" s="19" t="str">
        <f>iconList!A22&amp;iconList!B22&amp;iconList!C22</f>
        <v>&amp;lt;icon type=&amp;quot;c_RequestStopInv&amp;quot;&amp;gt;&amp;lt;/icon&amp;gt;</v>
      </c>
      <c r="E22" s="20" t="str">
        <f>iconList!B22</f>
        <v>c_RequestStopInv</v>
      </c>
      <c r="F22" s="14"/>
      <c r="G22" s="14"/>
      <c r="H22" t="s">
        <v>281</v>
      </c>
      <c r="N22" t="str">
        <f t="shared" si="13"/>
        <v>&lt;displayName&gt;c_RequestStopInv&lt;/displayName&gt;</v>
      </c>
      <c r="O22" t="str">
        <f t="shared" si="2"/>
        <v>&lt;duration&gt;5&lt;/duration&gt;</v>
      </c>
      <c r="P22" t="str">
        <f t="shared" si="14"/>
        <v>&lt;type&gt;&lt;/type&gt;</v>
      </c>
      <c r="Q22" t="str">
        <f t="shared" si="15"/>
        <v>&lt;icon&gt;&amp;lt;icon type=&amp;quot;c_RequestStopInv&amp;quot;&amp;gt;&amp;lt;/icon&amp;gt;&lt;/icon&gt;</v>
      </c>
      <c r="R22" t="str">
        <f t="shared" si="16"/>
        <v>&lt;text&gt;c_RequestStopInv&lt;/text&gt;</v>
      </c>
      <c r="S22" t="str">
        <f t="shared" si="17"/>
        <v>&lt;changeFrom&gt;&lt;/changeFrom&gt;</v>
      </c>
      <c r="T22" t="str">
        <f t="shared" si="18"/>
        <v>&lt;changeTo&gt;&lt;/changeTo&gt;</v>
      </c>
      <c r="U22" t="str">
        <f t="shared" si="19"/>
        <v>&lt;mp3&gt;H162.mp3&lt;/mp3&gt;</v>
      </c>
      <c r="V22" t="str">
        <f t="shared" si="9"/>
        <v/>
      </c>
      <c r="W22" t="str">
        <f t="shared" si="10"/>
        <v/>
      </c>
      <c r="X22" t="str">
        <f t="shared" si="11"/>
        <v/>
      </c>
      <c r="Y22" t="str">
        <f t="shared" si="12"/>
        <v>&lt;announcement&gt;&lt;displayName&gt;c_RequestStopInv&lt;/displayName&gt;&lt;duration&gt;5&lt;/duration&gt;&lt;type&gt;&lt;/type&gt;&lt;icon&gt;&amp;lt;icon type=&amp;quot;c_RequestStopInv&amp;quot;&amp;gt;&amp;lt;/icon&amp;gt;&lt;/icon&gt;&lt;text&gt;c_RequestStopInv&lt;/text&gt;&lt;changeFrom&gt;&lt;/changeFrom&gt;&lt;changeTo&gt;&lt;/changeTo&gt;&lt;mp3&gt;H162.mp3&lt;/mp3&gt;&lt;/announcement&gt;</v>
      </c>
    </row>
    <row r="23" spans="1:25" ht="45" x14ac:dyDescent="0.3">
      <c r="A23" s="22" t="str">
        <f>iconList!B23</f>
        <v>c_SBahn</v>
      </c>
      <c r="B23" s="22">
        <v>5</v>
      </c>
      <c r="D23" s="19" t="str">
        <f>iconList!A23&amp;iconList!B23&amp;iconList!C23</f>
        <v>&amp;lt;icon type=&amp;quot;c_SBahn&amp;quot;&amp;gt;&amp;lt;/icon&amp;gt;</v>
      </c>
      <c r="E23" s="20" t="str">
        <f>iconList!B23</f>
        <v>c_SBahn</v>
      </c>
      <c r="F23" s="14"/>
      <c r="G23" s="14"/>
      <c r="H23" t="s">
        <v>285</v>
      </c>
      <c r="N23" t="str">
        <f t="shared" si="13"/>
        <v>&lt;displayName&gt;c_SBahn&lt;/displayName&gt;</v>
      </c>
      <c r="O23" t="str">
        <f t="shared" si="2"/>
        <v>&lt;duration&gt;5&lt;/duration&gt;</v>
      </c>
      <c r="P23" t="str">
        <f t="shared" si="14"/>
        <v>&lt;type&gt;&lt;/type&gt;</v>
      </c>
      <c r="Q23" t="str">
        <f t="shared" si="15"/>
        <v>&lt;icon&gt;&amp;lt;icon type=&amp;quot;c_SBahn&amp;quot;&amp;gt;&amp;lt;/icon&amp;gt;&lt;/icon&gt;</v>
      </c>
      <c r="R23" t="str">
        <f t="shared" si="16"/>
        <v>&lt;text&gt;c_SBahn&lt;/text&gt;</v>
      </c>
      <c r="S23" t="str">
        <f t="shared" si="17"/>
        <v>&lt;changeFrom&gt;&lt;/changeFrom&gt;</v>
      </c>
      <c r="T23" t="str">
        <f t="shared" si="18"/>
        <v>&lt;changeTo&gt;&lt;/changeTo&gt;</v>
      </c>
      <c r="U23" t="str">
        <f t="shared" si="19"/>
        <v>&lt;mp3&gt;H164.mp3&lt;/mp3&gt;</v>
      </c>
      <c r="V23" t="str">
        <f t="shared" si="9"/>
        <v/>
      </c>
      <c r="W23" t="str">
        <f t="shared" si="10"/>
        <v/>
      </c>
      <c r="X23" t="str">
        <f t="shared" si="11"/>
        <v/>
      </c>
      <c r="Y23" t="str">
        <f t="shared" si="12"/>
        <v>&lt;announcement&gt;&lt;displayName&gt;c_SBahn&lt;/displayName&gt;&lt;duration&gt;5&lt;/duration&gt;&lt;type&gt;&lt;/type&gt;&lt;icon&gt;&amp;lt;icon type=&amp;quot;c_SBahn&amp;quot;&amp;gt;&amp;lt;/icon&amp;gt;&lt;/icon&gt;&lt;text&gt;c_SBahn&lt;/text&gt;&lt;changeFrom&gt;&lt;/changeFrom&gt;&lt;changeTo&gt;&lt;/changeTo&gt;&lt;mp3&gt;H164.mp3&lt;/mp3&gt;&lt;/announcement&gt;</v>
      </c>
    </row>
    <row r="24" spans="1:25" ht="45" x14ac:dyDescent="0.3">
      <c r="A24" s="22" t="str">
        <f>iconList!B24</f>
        <v>c_Train</v>
      </c>
      <c r="B24" s="22">
        <v>5</v>
      </c>
      <c r="D24" s="19" t="str">
        <f>iconList!A24&amp;iconList!B24&amp;iconList!C24</f>
        <v>&amp;lt;icon type=&amp;quot;c_Train&amp;quot;&amp;gt;&amp;lt;/icon&amp;gt;</v>
      </c>
      <c r="E24" s="20" t="str">
        <f>iconList!B24</f>
        <v>c_Train</v>
      </c>
      <c r="F24" s="14"/>
      <c r="G24" s="14"/>
      <c r="H24" s="13" t="s">
        <v>317</v>
      </c>
      <c r="N24" t="str">
        <f t="shared" si="13"/>
        <v>&lt;displayName&gt;c_Train&lt;/displayName&gt;</v>
      </c>
      <c r="O24" t="str">
        <f t="shared" si="2"/>
        <v>&lt;duration&gt;5&lt;/duration&gt;</v>
      </c>
      <c r="P24" t="str">
        <f t="shared" si="14"/>
        <v>&lt;type&gt;&lt;/type&gt;</v>
      </c>
      <c r="Q24" t="str">
        <f t="shared" si="15"/>
        <v>&lt;icon&gt;&amp;lt;icon type=&amp;quot;c_Train&amp;quot;&amp;gt;&amp;lt;/icon&amp;gt;&lt;/icon&gt;</v>
      </c>
      <c r="R24" t="str">
        <f t="shared" si="16"/>
        <v>&lt;text&gt;c_Train&lt;/text&gt;</v>
      </c>
      <c r="S24" t="str">
        <f t="shared" si="17"/>
        <v>&lt;changeFrom&gt;&lt;/changeFrom&gt;</v>
      </c>
      <c r="T24" t="str">
        <f t="shared" si="18"/>
        <v>&lt;changeTo&gt;&lt;/changeTo&gt;</v>
      </c>
      <c r="U24" t="str">
        <f t="shared" si="19"/>
        <v>&lt;mp3&gt;H183.mp3&lt;/mp3&gt;</v>
      </c>
      <c r="V24" t="str">
        <f t="shared" si="9"/>
        <v/>
      </c>
      <c r="W24" t="str">
        <f t="shared" si="10"/>
        <v/>
      </c>
      <c r="X24" t="str">
        <f t="shared" si="11"/>
        <v/>
      </c>
      <c r="Y24" t="str">
        <f t="shared" si="12"/>
        <v>&lt;announcement&gt;&lt;displayName&gt;c_Train&lt;/displayName&gt;&lt;duration&gt;5&lt;/duration&gt;&lt;type&gt;&lt;/type&gt;&lt;icon&gt;&amp;lt;icon type=&amp;quot;c_Train&amp;quot;&amp;gt;&amp;lt;/icon&amp;gt;&lt;/icon&gt;&lt;text&gt;c_Train&lt;/text&gt;&lt;changeFrom&gt;&lt;/changeFrom&gt;&lt;changeTo&gt;&lt;/changeTo&gt;&lt;mp3&gt;H183.mp3&lt;/mp3&gt;&lt;/announcement&gt;</v>
      </c>
    </row>
    <row r="25" spans="1:25" ht="60" x14ac:dyDescent="0.3">
      <c r="A25" s="22" t="str">
        <f>iconList!B25</f>
        <v>c_TrainEnd</v>
      </c>
      <c r="B25" s="22">
        <v>5</v>
      </c>
      <c r="D25" s="19" t="str">
        <f>iconList!A25&amp;iconList!B25&amp;iconList!C25</f>
        <v>&amp;lt;icon type=&amp;quot;c_TrainEnd&amp;quot;&amp;gt;&amp;lt;/icon&amp;gt;</v>
      </c>
      <c r="E25" s="20" t="str">
        <f>iconList!B25</f>
        <v>c_TrainEnd</v>
      </c>
      <c r="F25" s="14"/>
      <c r="G25" s="14"/>
      <c r="H25" t="s">
        <v>315</v>
      </c>
      <c r="N25" t="str">
        <f t="shared" si="13"/>
        <v>&lt;displayName&gt;c_TrainEnd&lt;/displayName&gt;</v>
      </c>
      <c r="O25" t="str">
        <f t="shared" si="2"/>
        <v>&lt;duration&gt;5&lt;/duration&gt;</v>
      </c>
      <c r="P25" t="str">
        <f t="shared" si="14"/>
        <v>&lt;type&gt;&lt;/type&gt;</v>
      </c>
      <c r="Q25" t="str">
        <f t="shared" si="15"/>
        <v>&lt;icon&gt;&amp;lt;icon type=&amp;quot;c_TrainEnd&amp;quot;&amp;gt;&amp;lt;/icon&amp;gt;&lt;/icon&gt;</v>
      </c>
      <c r="R25" t="str">
        <f t="shared" si="16"/>
        <v>&lt;text&gt;c_TrainEnd&lt;/text&gt;</v>
      </c>
      <c r="S25" t="str">
        <f t="shared" si="17"/>
        <v>&lt;changeFrom&gt;&lt;/changeFrom&gt;</v>
      </c>
      <c r="T25" t="str">
        <f t="shared" si="18"/>
        <v>&lt;changeTo&gt;&lt;/changeTo&gt;</v>
      </c>
      <c r="U25" t="str">
        <f t="shared" si="19"/>
        <v>&lt;mp3&gt;H182.mp3&lt;/mp3&gt;</v>
      </c>
      <c r="V25" t="str">
        <f t="shared" si="9"/>
        <v/>
      </c>
      <c r="W25" t="str">
        <f t="shared" si="10"/>
        <v/>
      </c>
      <c r="X25" t="str">
        <f t="shared" si="11"/>
        <v/>
      </c>
      <c r="Y25" t="str">
        <f t="shared" si="12"/>
        <v>&lt;announcement&gt;&lt;displayName&gt;c_TrainEnd&lt;/displayName&gt;&lt;duration&gt;5&lt;/duration&gt;&lt;type&gt;&lt;/type&gt;&lt;icon&gt;&amp;lt;icon type=&amp;quot;c_TrainEnd&amp;quot;&amp;gt;&amp;lt;/icon&amp;gt;&lt;/icon&gt;&lt;text&gt;c_TrainEnd&lt;/text&gt;&lt;changeFrom&gt;&lt;/changeFrom&gt;&lt;changeTo&gt;&lt;/changeTo&gt;&lt;mp3&gt;H182.mp3&lt;/mp3&gt;&lt;/announcement&gt;</v>
      </c>
    </row>
    <row r="26" spans="1:25" ht="45" x14ac:dyDescent="0.3">
      <c r="A26" s="22" t="str">
        <f>iconList!B26</f>
        <v>c_Tram</v>
      </c>
      <c r="B26" s="22">
        <v>5</v>
      </c>
      <c r="D26" s="19" t="str">
        <f>iconList!A26&amp;iconList!B26&amp;iconList!C26</f>
        <v>&amp;lt;icon type=&amp;quot;c_Tram&amp;quot;&amp;gt;&amp;lt;/icon&amp;gt;</v>
      </c>
      <c r="E26" s="20" t="str">
        <f>iconList!B26</f>
        <v>c_Tram</v>
      </c>
      <c r="F26" s="14"/>
      <c r="G26" s="14"/>
      <c r="H26" t="s">
        <v>340</v>
      </c>
      <c r="N26" t="str">
        <f t="shared" si="13"/>
        <v>&lt;displayName&gt;c_Tram&lt;/displayName&gt;</v>
      </c>
      <c r="O26" t="str">
        <f t="shared" si="2"/>
        <v>&lt;duration&gt;5&lt;/duration&gt;</v>
      </c>
      <c r="P26" t="str">
        <f t="shared" si="14"/>
        <v>&lt;type&gt;&lt;/type&gt;</v>
      </c>
      <c r="Q26" t="str">
        <f t="shared" si="15"/>
        <v>&lt;icon&gt;&amp;lt;icon type=&amp;quot;c_Tram&amp;quot;&amp;gt;&amp;lt;/icon&amp;gt;&lt;/icon&gt;</v>
      </c>
      <c r="R26" t="str">
        <f t="shared" si="16"/>
        <v>&lt;text&gt;c_Tram&lt;/text&gt;</v>
      </c>
      <c r="S26" t="str">
        <f t="shared" si="17"/>
        <v>&lt;changeFrom&gt;&lt;/changeFrom&gt;</v>
      </c>
      <c r="T26" t="str">
        <f t="shared" si="18"/>
        <v>&lt;changeTo&gt;&lt;/changeTo&gt;</v>
      </c>
      <c r="U26" t="str">
        <f t="shared" si="19"/>
        <v>&lt;mp3&gt;H201.mp3&lt;/mp3&gt;</v>
      </c>
      <c r="V26" t="str">
        <f t="shared" si="9"/>
        <v/>
      </c>
      <c r="W26" t="str">
        <f t="shared" si="10"/>
        <v/>
      </c>
      <c r="X26" t="str">
        <f t="shared" si="11"/>
        <v/>
      </c>
      <c r="Y26" t="str">
        <f t="shared" si="12"/>
        <v>&lt;announcement&gt;&lt;displayName&gt;c_Tram&lt;/displayName&gt;&lt;duration&gt;5&lt;/duration&gt;&lt;type&gt;&lt;/type&gt;&lt;icon&gt;&amp;lt;icon type=&amp;quot;c_Tram&amp;quot;&amp;gt;&amp;lt;/icon&amp;gt;&lt;/icon&gt;&lt;text&gt;c_Tram&lt;/text&gt;&lt;changeFrom&gt;&lt;/changeFrom&gt;&lt;changeTo&gt;&lt;/changeTo&gt;&lt;mp3&gt;H201.mp3&lt;/mp3&gt;&lt;/announcement&gt;</v>
      </c>
    </row>
    <row r="27" spans="1:25" ht="60" x14ac:dyDescent="0.3">
      <c r="A27" s="22" t="str">
        <f>iconList!B27</f>
        <v>c_Trolleybus</v>
      </c>
      <c r="B27" s="22">
        <v>5</v>
      </c>
      <c r="D27" s="19" t="str">
        <f>iconList!A27&amp;iconList!B27&amp;iconList!C27</f>
        <v>&amp;lt;icon type=&amp;quot;c_Trolleybus&amp;quot;&amp;gt;&amp;lt;/icon&amp;gt;</v>
      </c>
      <c r="E27" s="20" t="str">
        <f>iconList!B27</f>
        <v>c_Trolleybus</v>
      </c>
      <c r="F27" s="14"/>
      <c r="G27" s="14"/>
      <c r="H27" t="s">
        <v>342</v>
      </c>
      <c r="N27" t="str">
        <f t="shared" ref="N27:N34" si="20">CONCATENATE("&lt;",A$1,"&gt;",A27,"&lt;/",A$1,"&gt;")</f>
        <v>&lt;displayName&gt;c_Trolleybus&lt;/displayName&gt;</v>
      </c>
      <c r="O27" t="str">
        <f t="shared" ref="O27:O34" si="21">CONCATENATE("&lt;",B$1,"&gt;",B27,"&lt;/",B$1,"&gt;")</f>
        <v>&lt;duration&gt;5&lt;/duration&gt;</v>
      </c>
      <c r="P27" t="str">
        <f t="shared" ref="P27:P34" si="22">CONCATENATE("&lt;",C$1,"&gt;",C27,"&lt;/",C$1,"&gt;")</f>
        <v>&lt;type&gt;&lt;/type&gt;</v>
      </c>
      <c r="Q27" t="str">
        <f t="shared" ref="Q27:Q34" si="23">CONCATENATE("&lt;",D$1,"&gt;",D27,"&lt;/",D$1,"&gt;")</f>
        <v>&lt;icon&gt;&amp;lt;icon type=&amp;quot;c_Trolleybus&amp;quot;&amp;gt;&amp;lt;/icon&amp;gt;&lt;/icon&gt;</v>
      </c>
      <c r="R27" t="str">
        <f t="shared" ref="R27:R34" si="24">CONCATENATE("&lt;",E$1,"&gt;",E27,"&lt;/",E$1,"&gt;")</f>
        <v>&lt;text&gt;c_Trolleybus&lt;/text&gt;</v>
      </c>
      <c r="S27" t="str">
        <f t="shared" ref="S27:S34" si="25">CONCATENATE("&lt;",F$1,"&gt;",F27,"&lt;/",F$1,"&gt;")</f>
        <v>&lt;changeFrom&gt;&lt;/changeFrom&gt;</v>
      </c>
      <c r="T27" t="str">
        <f t="shared" ref="T27:T34" si="26">CONCATENATE("&lt;",G$1,"&gt;",G27,"&lt;/",G$1,"&gt;")</f>
        <v>&lt;changeTo&gt;&lt;/changeTo&gt;</v>
      </c>
      <c r="U27" t="str">
        <f t="shared" ref="U27:U34" si="27">IF(H27&lt;&gt;"",CONCATENATE("&lt;",H$1,"&gt;",H27,".mp3","&lt;/",H$1,"&gt;"),"")</f>
        <v>&lt;mp3&gt;H202.mp3&lt;/mp3&gt;</v>
      </c>
      <c r="V27" t="str">
        <f t="shared" ref="V27:V34" si="28">IF(I27&lt;&gt;"",CONCATENATE("&lt;",I$1,"&gt;",I27,".mp3","&lt;/",I$1,"&gt;"),"")</f>
        <v/>
      </c>
      <c r="W27" t="str">
        <f t="shared" ref="W27:W34" si="29">IF(J27&lt;&gt;"",CONCATENATE("&lt;",J$1,"&gt;",J27,".mp3","&lt;/",J$1,"&gt;"),"")</f>
        <v/>
      </c>
      <c r="X27" t="str">
        <f t="shared" ref="X27:X34" si="30">IF(K27&lt;&gt;"",CONCATENATE("&lt;",K$1,"&gt;",K27,".mp3","&lt;/",K$1,"&gt;"),"")</f>
        <v/>
      </c>
      <c r="Y27" t="str">
        <f t="shared" ref="Y27:Y34" si="31">CONCATENATE("&lt;announcement&gt;",N27,O27,P27,Q27,R27,S27,T27,U27,V27,W27,X27,"&lt;/announcement&gt;")</f>
        <v>&lt;announcement&gt;&lt;displayName&gt;c_Trolleybus&lt;/displayName&gt;&lt;duration&gt;5&lt;/duration&gt;&lt;type&gt;&lt;/type&gt;&lt;icon&gt;&amp;lt;icon type=&amp;quot;c_Trolleybus&amp;quot;&amp;gt;&amp;lt;/icon&amp;gt;&lt;/icon&gt;&lt;text&gt;c_Trolleybus&lt;/text&gt;&lt;changeFrom&gt;&lt;/changeFrom&gt;&lt;changeTo&gt;&lt;/changeTo&gt;&lt;mp3&gt;H202.mp3&lt;/mp3&gt;&lt;/announcement&gt;</v>
      </c>
    </row>
    <row r="28" spans="1:25" ht="60" x14ac:dyDescent="0.3">
      <c r="A28" s="22" t="str">
        <f>iconList!B28</f>
        <v>c_UndergroundA</v>
      </c>
      <c r="B28" s="22">
        <v>5</v>
      </c>
      <c r="D28" s="19" t="str">
        <f>iconList!A28&amp;iconList!B28&amp;iconList!C28</f>
        <v>&amp;lt;icon type=&amp;quot;c_UndergroundA&amp;quot;&amp;gt;&amp;lt;/icon&amp;gt;</v>
      </c>
      <c r="E28" s="20" t="str">
        <f>iconList!B28</f>
        <v>c_UndergroundA</v>
      </c>
      <c r="F28" s="14"/>
      <c r="G28" s="14"/>
      <c r="H28" t="s">
        <v>344</v>
      </c>
      <c r="N28" t="str">
        <f t="shared" si="20"/>
        <v>&lt;displayName&gt;c_UndergroundA&lt;/displayName&gt;</v>
      </c>
      <c r="O28" t="str">
        <f t="shared" si="21"/>
        <v>&lt;duration&gt;5&lt;/duration&gt;</v>
      </c>
      <c r="P28" t="str">
        <f t="shared" si="22"/>
        <v>&lt;type&gt;&lt;/type&gt;</v>
      </c>
      <c r="Q28" t="str">
        <f t="shared" si="23"/>
        <v>&lt;icon&gt;&amp;lt;icon type=&amp;quot;c_UndergroundA&amp;quot;&amp;gt;&amp;lt;/icon&amp;gt;&lt;/icon&gt;</v>
      </c>
      <c r="R28" t="str">
        <f t="shared" si="24"/>
        <v>&lt;text&gt;c_UndergroundA&lt;/text&gt;</v>
      </c>
      <c r="S28" t="str">
        <f t="shared" si="25"/>
        <v>&lt;changeFrom&gt;&lt;/changeFrom&gt;</v>
      </c>
      <c r="T28" t="str">
        <f t="shared" si="26"/>
        <v>&lt;changeTo&gt;&lt;/changeTo&gt;</v>
      </c>
      <c r="U28" t="str">
        <f t="shared" si="27"/>
        <v>&lt;mp3&gt;H203.mp3&lt;/mp3&gt;</v>
      </c>
      <c r="V28" t="str">
        <f t="shared" si="28"/>
        <v/>
      </c>
      <c r="W28" t="str">
        <f t="shared" si="29"/>
        <v/>
      </c>
      <c r="X28" t="str">
        <f t="shared" si="30"/>
        <v/>
      </c>
      <c r="Y28" t="str">
        <f t="shared" si="31"/>
        <v>&lt;announcement&gt;&lt;displayName&gt;c_UndergroundA&lt;/displayName&gt;&lt;duration&gt;5&lt;/duration&gt;&lt;type&gt;&lt;/type&gt;&lt;icon&gt;&amp;lt;icon type=&amp;quot;c_UndergroundA&amp;quot;&amp;gt;&amp;lt;/icon&amp;gt;&lt;/icon&gt;&lt;text&gt;c_UndergroundA&lt;/text&gt;&lt;changeFrom&gt;&lt;/changeFrom&gt;&lt;changeTo&gt;&lt;/changeTo&gt;&lt;mp3&gt;H203.mp3&lt;/mp3&gt;&lt;/announcement&gt;</v>
      </c>
    </row>
    <row r="29" spans="1:25" ht="60" x14ac:dyDescent="0.3">
      <c r="A29" s="22" t="str">
        <f>iconList!B29</f>
        <v>c_UndergroundB</v>
      </c>
      <c r="B29" s="22">
        <v>5</v>
      </c>
      <c r="D29" s="19" t="str">
        <f>iconList!A29&amp;iconList!B29&amp;iconList!C29</f>
        <v>&amp;lt;icon type=&amp;quot;c_UndergroundB&amp;quot;&amp;gt;&amp;lt;/icon&amp;gt;</v>
      </c>
      <c r="E29" s="20" t="str">
        <f>iconList!B29</f>
        <v>c_UndergroundB</v>
      </c>
      <c r="F29" s="14"/>
      <c r="G29" s="14"/>
      <c r="H29" t="s">
        <v>346</v>
      </c>
      <c r="N29" t="str">
        <f t="shared" si="20"/>
        <v>&lt;displayName&gt;c_UndergroundB&lt;/displayName&gt;</v>
      </c>
      <c r="O29" t="str">
        <f t="shared" si="21"/>
        <v>&lt;duration&gt;5&lt;/duration&gt;</v>
      </c>
      <c r="P29" t="str">
        <f t="shared" si="22"/>
        <v>&lt;type&gt;&lt;/type&gt;</v>
      </c>
      <c r="Q29" t="str">
        <f t="shared" si="23"/>
        <v>&lt;icon&gt;&amp;lt;icon type=&amp;quot;c_UndergroundB&amp;quot;&amp;gt;&amp;lt;/icon&amp;gt;&lt;/icon&gt;</v>
      </c>
      <c r="R29" t="str">
        <f t="shared" si="24"/>
        <v>&lt;text&gt;c_UndergroundB&lt;/text&gt;</v>
      </c>
      <c r="S29" t="str">
        <f t="shared" si="25"/>
        <v>&lt;changeFrom&gt;&lt;/changeFrom&gt;</v>
      </c>
      <c r="T29" t="str">
        <f t="shared" si="26"/>
        <v>&lt;changeTo&gt;&lt;/changeTo&gt;</v>
      </c>
      <c r="U29" t="str">
        <f t="shared" si="27"/>
        <v>&lt;mp3&gt;H204.mp3&lt;/mp3&gt;</v>
      </c>
      <c r="V29" t="str">
        <f t="shared" si="28"/>
        <v/>
      </c>
      <c r="W29" t="str">
        <f t="shared" si="29"/>
        <v/>
      </c>
      <c r="X29" t="str">
        <f t="shared" si="30"/>
        <v/>
      </c>
      <c r="Y29" t="str">
        <f t="shared" si="31"/>
        <v>&lt;announcement&gt;&lt;displayName&gt;c_UndergroundB&lt;/displayName&gt;&lt;duration&gt;5&lt;/duration&gt;&lt;type&gt;&lt;/type&gt;&lt;icon&gt;&amp;lt;icon type=&amp;quot;c_UndergroundB&amp;quot;&amp;gt;&amp;lt;/icon&amp;gt;&lt;/icon&gt;&lt;text&gt;c_UndergroundB&lt;/text&gt;&lt;changeFrom&gt;&lt;/changeFrom&gt;&lt;changeTo&gt;&lt;/changeTo&gt;&lt;mp3&gt;H204.mp3&lt;/mp3&gt;&lt;/announcement&gt;</v>
      </c>
    </row>
    <row r="30" spans="1:25" ht="60" x14ac:dyDescent="0.3">
      <c r="A30" s="22" t="str">
        <f>iconList!B30</f>
        <v>c_UndergroundC</v>
      </c>
      <c r="B30" s="22">
        <v>5</v>
      </c>
      <c r="D30" s="19" t="str">
        <f>iconList!A30&amp;iconList!B30&amp;iconList!C30</f>
        <v>&amp;lt;icon type=&amp;quot;c_UndergroundC&amp;quot;&amp;gt;&amp;lt;/icon&amp;gt;</v>
      </c>
      <c r="E30" s="20" t="str">
        <f>iconList!B30</f>
        <v>c_UndergroundC</v>
      </c>
      <c r="F30" s="14"/>
      <c r="G30" s="14"/>
      <c r="H30" t="s">
        <v>348</v>
      </c>
      <c r="N30" t="str">
        <f t="shared" si="20"/>
        <v>&lt;displayName&gt;c_UndergroundC&lt;/displayName&gt;</v>
      </c>
      <c r="O30" t="str">
        <f t="shared" si="21"/>
        <v>&lt;duration&gt;5&lt;/duration&gt;</v>
      </c>
      <c r="P30" t="str">
        <f t="shared" si="22"/>
        <v>&lt;type&gt;&lt;/type&gt;</v>
      </c>
      <c r="Q30" t="str">
        <f t="shared" si="23"/>
        <v>&lt;icon&gt;&amp;lt;icon type=&amp;quot;c_UndergroundC&amp;quot;&amp;gt;&amp;lt;/icon&amp;gt;&lt;/icon&gt;</v>
      </c>
      <c r="R30" t="str">
        <f t="shared" si="24"/>
        <v>&lt;text&gt;c_UndergroundC&lt;/text&gt;</v>
      </c>
      <c r="S30" t="str">
        <f t="shared" si="25"/>
        <v>&lt;changeFrom&gt;&lt;/changeFrom&gt;</v>
      </c>
      <c r="T30" t="str">
        <f t="shared" si="26"/>
        <v>&lt;changeTo&gt;&lt;/changeTo&gt;</v>
      </c>
      <c r="U30" t="str">
        <f t="shared" si="27"/>
        <v>&lt;mp3&gt;H205.mp3&lt;/mp3&gt;</v>
      </c>
      <c r="V30" t="str">
        <f t="shared" si="28"/>
        <v/>
      </c>
      <c r="W30" t="str">
        <f t="shared" si="29"/>
        <v/>
      </c>
      <c r="X30" t="str">
        <f t="shared" si="30"/>
        <v/>
      </c>
      <c r="Y30" t="str">
        <f t="shared" si="31"/>
        <v>&lt;announcement&gt;&lt;displayName&gt;c_UndergroundC&lt;/displayName&gt;&lt;duration&gt;5&lt;/duration&gt;&lt;type&gt;&lt;/type&gt;&lt;icon&gt;&amp;lt;icon type=&amp;quot;c_UndergroundC&amp;quot;&amp;gt;&amp;lt;/icon&amp;gt;&lt;/icon&gt;&lt;text&gt;c_UndergroundC&lt;/text&gt;&lt;changeFrom&gt;&lt;/changeFrom&gt;&lt;changeTo&gt;&lt;/changeTo&gt;&lt;mp3&gt;H205.mp3&lt;/mp3&gt;&lt;/announcement&gt;</v>
      </c>
    </row>
    <row r="31" spans="1:25" ht="60" x14ac:dyDescent="0.3">
      <c r="A31" s="22" t="str">
        <f>iconList!B31</f>
        <v>c_UndergroundD</v>
      </c>
      <c r="B31" s="22">
        <v>5</v>
      </c>
      <c r="D31" s="19" t="str">
        <f>iconList!A31&amp;iconList!B31&amp;iconList!C31</f>
        <v>&amp;lt;icon type=&amp;quot;c_UndergroundD&amp;quot;&amp;gt;&amp;lt;/icon&amp;gt;</v>
      </c>
      <c r="E31" s="20" t="str">
        <f>iconList!B31</f>
        <v>c_UndergroundD</v>
      </c>
      <c r="F31" s="14"/>
      <c r="G31" s="14"/>
      <c r="H31" t="s">
        <v>350</v>
      </c>
      <c r="N31" t="str">
        <f t="shared" si="20"/>
        <v>&lt;displayName&gt;c_UndergroundD&lt;/displayName&gt;</v>
      </c>
      <c r="O31" t="str">
        <f t="shared" si="21"/>
        <v>&lt;duration&gt;5&lt;/duration&gt;</v>
      </c>
      <c r="P31" t="str">
        <f t="shared" si="22"/>
        <v>&lt;type&gt;&lt;/type&gt;</v>
      </c>
      <c r="Q31" t="str">
        <f t="shared" si="23"/>
        <v>&lt;icon&gt;&amp;lt;icon type=&amp;quot;c_UndergroundD&amp;quot;&amp;gt;&amp;lt;/icon&amp;gt;&lt;/icon&gt;</v>
      </c>
      <c r="R31" t="str">
        <f t="shared" si="24"/>
        <v>&lt;text&gt;c_UndergroundD&lt;/text&gt;</v>
      </c>
      <c r="S31" t="str">
        <f t="shared" si="25"/>
        <v>&lt;changeFrom&gt;&lt;/changeFrom&gt;</v>
      </c>
      <c r="T31" t="str">
        <f t="shared" si="26"/>
        <v>&lt;changeTo&gt;&lt;/changeTo&gt;</v>
      </c>
      <c r="U31" t="str">
        <f t="shared" si="27"/>
        <v>&lt;mp3&gt;H206.mp3&lt;/mp3&gt;</v>
      </c>
      <c r="V31" t="str">
        <f t="shared" si="28"/>
        <v/>
      </c>
      <c r="W31" t="str">
        <f t="shared" si="29"/>
        <v/>
      </c>
      <c r="X31" t="str">
        <f t="shared" si="30"/>
        <v/>
      </c>
      <c r="Y31" t="str">
        <f t="shared" si="31"/>
        <v>&lt;announcement&gt;&lt;displayName&gt;c_UndergroundD&lt;/displayName&gt;&lt;duration&gt;5&lt;/duration&gt;&lt;type&gt;&lt;/type&gt;&lt;icon&gt;&amp;lt;icon type=&amp;quot;c_UndergroundD&amp;quot;&amp;gt;&amp;lt;/icon&amp;gt;&lt;/icon&gt;&lt;text&gt;c_UndergroundD&lt;/text&gt;&lt;changeFrom&gt;&lt;/changeFrom&gt;&lt;changeTo&gt;&lt;/changeTo&gt;&lt;mp3&gt;H206.mp3&lt;/mp3&gt;&lt;/announcement&gt;</v>
      </c>
    </row>
    <row r="32" spans="1:25" ht="60" x14ac:dyDescent="0.3">
      <c r="A32" s="22" t="str">
        <f>iconList!B32</f>
        <v>c_WheelChair</v>
      </c>
      <c r="B32" s="22">
        <v>5</v>
      </c>
      <c r="D32" s="19" t="str">
        <f>iconList!A32&amp;iconList!B32&amp;iconList!C32</f>
        <v>&amp;lt;icon type=&amp;quot;c_WheelChair&amp;quot;&amp;gt;&amp;lt;/icon&amp;gt;</v>
      </c>
      <c r="E32" s="20" t="str">
        <f>iconList!B32</f>
        <v>c_WheelChair</v>
      </c>
      <c r="F32" s="14"/>
      <c r="G32" s="14"/>
      <c r="H32" t="s">
        <v>352</v>
      </c>
      <c r="N32" t="str">
        <f t="shared" si="20"/>
        <v>&lt;displayName&gt;c_WheelChair&lt;/displayName&gt;</v>
      </c>
      <c r="O32" t="str">
        <f t="shared" si="21"/>
        <v>&lt;duration&gt;5&lt;/duration&gt;</v>
      </c>
      <c r="P32" t="str">
        <f t="shared" si="22"/>
        <v>&lt;type&gt;&lt;/type&gt;</v>
      </c>
      <c r="Q32" t="str">
        <f t="shared" si="23"/>
        <v>&lt;icon&gt;&amp;lt;icon type=&amp;quot;c_WheelChair&amp;quot;&amp;gt;&amp;lt;/icon&amp;gt;&lt;/icon&gt;</v>
      </c>
      <c r="R32" t="str">
        <f t="shared" si="24"/>
        <v>&lt;text&gt;c_WheelChair&lt;/text&gt;</v>
      </c>
      <c r="S32" t="str">
        <f t="shared" si="25"/>
        <v>&lt;changeFrom&gt;&lt;/changeFrom&gt;</v>
      </c>
      <c r="T32" t="str">
        <f t="shared" si="26"/>
        <v>&lt;changeTo&gt;&lt;/changeTo&gt;</v>
      </c>
      <c r="U32" t="str">
        <f t="shared" si="27"/>
        <v>&lt;mp3&gt;H207.mp3&lt;/mp3&gt;</v>
      </c>
      <c r="V32" t="str">
        <f t="shared" si="28"/>
        <v/>
      </c>
      <c r="W32" t="str">
        <f t="shared" si="29"/>
        <v/>
      </c>
      <c r="X32" t="str">
        <f t="shared" si="30"/>
        <v/>
      </c>
      <c r="Y32" t="str">
        <f t="shared" si="31"/>
        <v>&lt;announcement&gt;&lt;displayName&gt;c_WheelChair&lt;/displayName&gt;&lt;duration&gt;5&lt;/duration&gt;&lt;type&gt;&lt;/type&gt;&lt;icon&gt;&amp;lt;icon type=&amp;quot;c_WheelChair&amp;quot;&amp;gt;&amp;lt;/icon&amp;gt;&lt;/icon&gt;&lt;text&gt;c_WheelChair&lt;/text&gt;&lt;changeFrom&gt;&lt;/changeFrom&gt;&lt;changeTo&gt;&lt;/changeTo&gt;&lt;mp3&gt;H207.mp3&lt;/mp3&gt;&lt;/announcement&gt;</v>
      </c>
    </row>
    <row r="33" spans="1:25" ht="75" x14ac:dyDescent="0.3">
      <c r="A33" s="22" t="str">
        <f>iconList!B33</f>
        <v xml:space="preserve">c_WheelChairLine </v>
      </c>
      <c r="B33" s="22">
        <v>5</v>
      </c>
      <c r="D33" s="19" t="str">
        <f>iconList!A33&amp;iconList!B33&amp;iconList!C33</f>
        <v>&amp;lt;icon type=&amp;quot;c_WheelChairLine &amp;quot;&amp;gt;&amp;lt;/icon&amp;gt;</v>
      </c>
      <c r="E33" s="20" t="str">
        <f>iconList!B33</f>
        <v xml:space="preserve">c_WheelChairLine </v>
      </c>
      <c r="F33" s="14"/>
      <c r="G33" s="14"/>
      <c r="H33" t="s">
        <v>354</v>
      </c>
      <c r="N33" t="str">
        <f t="shared" si="20"/>
        <v>&lt;displayName&gt;c_WheelChairLine &lt;/displayName&gt;</v>
      </c>
      <c r="O33" t="str">
        <f t="shared" si="21"/>
        <v>&lt;duration&gt;5&lt;/duration&gt;</v>
      </c>
      <c r="P33" t="str">
        <f t="shared" si="22"/>
        <v>&lt;type&gt;&lt;/type&gt;</v>
      </c>
      <c r="Q33" t="str">
        <f t="shared" si="23"/>
        <v>&lt;icon&gt;&amp;lt;icon type=&amp;quot;c_WheelChairLine &amp;quot;&amp;gt;&amp;lt;/icon&amp;gt;&lt;/icon&gt;</v>
      </c>
      <c r="R33" t="str">
        <f t="shared" si="24"/>
        <v>&lt;text&gt;c_WheelChairLine &lt;/text&gt;</v>
      </c>
      <c r="S33" t="str">
        <f t="shared" si="25"/>
        <v>&lt;changeFrom&gt;&lt;/changeFrom&gt;</v>
      </c>
      <c r="T33" t="str">
        <f t="shared" si="26"/>
        <v>&lt;changeTo&gt;&lt;/changeTo&gt;</v>
      </c>
      <c r="U33" t="str">
        <f t="shared" si="27"/>
        <v>&lt;mp3&gt;H208.mp3&lt;/mp3&gt;</v>
      </c>
      <c r="V33" t="str">
        <f t="shared" si="28"/>
        <v/>
      </c>
      <c r="W33" t="str">
        <f t="shared" si="29"/>
        <v/>
      </c>
      <c r="X33" t="str">
        <f t="shared" si="30"/>
        <v/>
      </c>
      <c r="Y33" t="str">
        <f t="shared" si="31"/>
        <v>&lt;announcement&gt;&lt;displayName&gt;c_WheelChairLine &lt;/displayName&gt;&lt;duration&gt;5&lt;/duration&gt;&lt;type&gt;&lt;/type&gt;&lt;icon&gt;&amp;lt;icon type=&amp;quot;c_WheelChairLine &amp;quot;&amp;gt;&amp;lt;/icon&amp;gt;&lt;/icon&gt;&lt;text&gt;c_WheelChairLine &lt;/text&gt;&lt;changeFrom&gt;&lt;/changeFrom&gt;&lt;changeTo&gt;&lt;/changeTo&gt;&lt;mp3&gt;H208.mp3&lt;/mp3&gt;&lt;/announcement&gt;</v>
      </c>
    </row>
    <row r="34" spans="1:25" ht="60" x14ac:dyDescent="0.3">
      <c r="A34" s="22" t="str">
        <f>iconList!B34</f>
        <v>c_ReplacementStop</v>
      </c>
      <c r="B34" s="22">
        <v>5</v>
      </c>
      <c r="D34" s="19" t="str">
        <f>iconList!A34&amp;iconList!B34&amp;iconList!C34</f>
        <v>&amp;lt;icon type=&amp;quot;c_ReplacementStop&amp;quot;&amp;gt;&amp;lt;/icon&amp;gt;</v>
      </c>
      <c r="E34" s="20" t="str">
        <f>iconList!B34</f>
        <v>c_ReplacementStop</v>
      </c>
      <c r="F34" s="14"/>
      <c r="G34" s="14"/>
      <c r="H34" t="s">
        <v>356</v>
      </c>
      <c r="N34" t="str">
        <f t="shared" si="20"/>
        <v>&lt;displayName&gt;c_ReplacementStop&lt;/displayName&gt;</v>
      </c>
      <c r="O34" t="str">
        <f t="shared" si="21"/>
        <v>&lt;duration&gt;5&lt;/duration&gt;</v>
      </c>
      <c r="P34" t="str">
        <f t="shared" si="22"/>
        <v>&lt;type&gt;&lt;/type&gt;</v>
      </c>
      <c r="Q34" t="str">
        <f t="shared" si="23"/>
        <v>&lt;icon&gt;&amp;lt;icon type=&amp;quot;c_ReplacementStop&amp;quot;&amp;gt;&amp;lt;/icon&amp;gt;&lt;/icon&gt;</v>
      </c>
      <c r="R34" t="str">
        <f t="shared" si="24"/>
        <v>&lt;text&gt;c_ReplacementStop&lt;/text&gt;</v>
      </c>
      <c r="S34" t="str">
        <f t="shared" si="25"/>
        <v>&lt;changeFrom&gt;&lt;/changeFrom&gt;</v>
      </c>
      <c r="T34" t="str">
        <f t="shared" si="26"/>
        <v>&lt;changeTo&gt;&lt;/changeTo&gt;</v>
      </c>
      <c r="U34" t="str">
        <f t="shared" si="27"/>
        <v>&lt;mp3&gt;H209.mp3&lt;/mp3&gt;</v>
      </c>
      <c r="V34" t="str">
        <f t="shared" si="28"/>
        <v/>
      </c>
      <c r="W34" t="str">
        <f t="shared" si="29"/>
        <v/>
      </c>
      <c r="X34" t="str">
        <f t="shared" si="30"/>
        <v/>
      </c>
      <c r="Y34" t="str">
        <f t="shared" si="31"/>
        <v>&lt;announcement&gt;&lt;displayName&gt;c_ReplacementStop&lt;/displayName&gt;&lt;duration&gt;5&lt;/duration&gt;&lt;type&gt;&lt;/type&gt;&lt;icon&gt;&amp;lt;icon type=&amp;quot;c_ReplacementStop&amp;quot;&amp;gt;&amp;lt;/icon&amp;gt;&lt;/icon&gt;&lt;text&gt;c_ReplacementStop&lt;/text&gt;&lt;changeFrom&gt;&lt;/changeFrom&gt;&lt;changeTo&gt;&lt;/changeTo&gt;&lt;mp3&gt;H209.mp3&lt;/mp3&gt;&lt;/announcement&gt;</v>
      </c>
    </row>
    <row r="35" spans="1:25" x14ac:dyDescent="0.2">
      <c r="A35" s="22"/>
    </row>
  </sheetData>
  <phoneticPr fontId="15" type="noConversion"/>
  <conditionalFormatting sqref="E2:G2 E3:E34">
    <cfRule type="duplicateValues" dxfId="18" priority="12" stopIfTrue="1"/>
  </conditionalFormatting>
  <conditionalFormatting sqref="F3:G3">
    <cfRule type="duplicateValues" dxfId="17" priority="14" stopIfTrue="1"/>
  </conditionalFormatting>
  <conditionalFormatting sqref="F4:G4">
    <cfRule type="duplicateValues" dxfId="16" priority="5" stopIfTrue="1"/>
  </conditionalFormatting>
  <conditionalFormatting sqref="F5:G5">
    <cfRule type="duplicateValues" dxfId="15" priority="123" stopIfTrue="1"/>
  </conditionalFormatting>
  <conditionalFormatting sqref="F6:G6">
    <cfRule type="duplicateValues" dxfId="14" priority="1" stopIfTrue="1"/>
  </conditionalFormatting>
  <conditionalFormatting sqref="F7:G7">
    <cfRule type="duplicateValues" dxfId="13" priority="8" stopIfTrue="1"/>
  </conditionalFormatting>
  <conditionalFormatting sqref="F8:G11">
    <cfRule type="duplicateValues" dxfId="12" priority="125" stopIfTrue="1"/>
  </conditionalFormatting>
  <conditionalFormatting sqref="F12:G12">
    <cfRule type="duplicateValues" dxfId="11" priority="124" stopIfTrue="1"/>
  </conditionalFormatting>
  <conditionalFormatting sqref="F20:G20">
    <cfRule type="duplicateValues" dxfId="10" priority="15" stopIfTrue="1"/>
  </conditionalFormatting>
  <conditionalFormatting sqref="F21:G21">
    <cfRule type="duplicateValues" dxfId="9" priority="13" stopIfTrue="1"/>
  </conditionalFormatting>
  <conditionalFormatting sqref="F22:G22">
    <cfRule type="duplicateValues" dxfId="8" priority="16" stopIfTrue="1"/>
  </conditionalFormatting>
  <conditionalFormatting sqref="F23:G23">
    <cfRule type="duplicateValues" dxfId="7" priority="3" stopIfTrue="1"/>
  </conditionalFormatting>
  <conditionalFormatting sqref="F24:G24">
    <cfRule type="duplicateValues" dxfId="6" priority="11" stopIfTrue="1"/>
  </conditionalFormatting>
  <conditionalFormatting sqref="F25:G25">
    <cfRule type="duplicateValues" dxfId="5" priority="10" stopIfTrue="1"/>
  </conditionalFormatting>
  <conditionalFormatting sqref="F26:G34">
    <cfRule type="duplicateValues" dxfId="4" priority="9" stopIfTrue="1"/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2E3C-683B-43DE-923C-E58C5265AC8A}">
  <dimension ref="A1"/>
  <sheetViews>
    <sheetView workbookViewId="0"/>
  </sheetViews>
  <sheetFormatPr defaultRowHeight="12.75" x14ac:dyDescent="0.2"/>
  <sheetData>
    <row r="1" spans="1:1" x14ac:dyDescent="0.2">
      <c r="A1" t="str">
        <f>_xlfn.TEXTJOIN("",TRUE,"&lt;announcementList&gt;",slozit!Y:Y,"&lt;/announcementList&gt;")</f>
        <v>&lt;announcementList&gt;&lt;announcement&gt;&lt;displayName&gt;c_Accessible&lt;/displayName&gt;&lt;duration&gt;5&lt;/duration&gt;&lt;type&gt;&lt;/type&gt;&lt;icon&gt;&amp;lt;icon type=&amp;quot;c_Accessible&amp;quot;&amp;gt;&amp;lt;/icon&amp;gt;&lt;/icon&gt;&lt;text&gt;c_Accessible&lt;/text&gt;&lt;changeFrom&gt;&lt;/changeFrom&gt;&lt;changeTo&gt;&lt;/changeTo&gt;&lt;mp3&gt;H239.mp3&lt;/mp3&gt;&lt;/announcement&gt;&lt;announcement&gt;&lt;displayName&gt;c_Air&lt;/displayName&gt;&lt;duration&gt;5&lt;/duration&gt;&lt;type&gt;&lt;/type&gt;&lt;icon&gt;&amp;lt;icon type=&amp;quot;c_Air&amp;quot;&amp;gt;&amp;lt;/icon&amp;gt;&lt;/icon&gt;&lt;text&gt;c_Air&lt;/text&gt;&lt;changeFrom&gt;&lt;/changeFrom&gt;&lt;changeTo&gt;&lt;/changeTo&gt;&lt;mp3&gt;H340.mp3&lt;/mp3&gt;&lt;/announcement&gt;&lt;announcement&gt;&lt;displayName&gt;c_Bus&lt;/displayName&gt;&lt;duration&gt;5&lt;/duration&gt;&lt;type&gt;&lt;/type&gt;&lt;icon&gt;&amp;lt;icon type=&amp;quot;c_Bus&amp;quot;&amp;gt;&amp;lt;/icon&amp;gt;&lt;/icon&gt;&lt;text&gt;c_Bus&lt;/text&gt;&lt;changeFrom&gt;&lt;/changeFrom&gt;&lt;changeTo&gt;&lt;/changeTo&gt;&lt;mp3&gt;H240.mp3&lt;/mp3&gt;&lt;/announcement&gt;&lt;announcement&gt;&lt;displayName&gt;c_Congestion&lt;/displayName&gt;&lt;duration&gt;5&lt;/duration&gt;&lt;type&gt;&lt;/type&gt;&lt;icon&gt;&amp;lt;icon type=&amp;quot;c_Congestion&amp;quot;&amp;gt;&amp;lt;/icon&amp;gt;&lt;/icon&gt;&lt;text&gt;c_Congestion&lt;/text&gt;&lt;changeFrom&gt;&lt;/changeFrom&gt;&lt;changeTo&gt;&lt;/changeTo&gt;&lt;mp3&gt;H260.mp3&lt;/mp3&gt;&lt;/announcement&gt;&lt;announcement&gt;&lt;displayName&gt;c_Diversion&lt;/displayName&gt;&lt;duration&gt;5&lt;/duration&gt;&lt;type&gt;&lt;/type&gt;&lt;icon&gt;&amp;lt;icon type=&amp;quot;c_Diversion&amp;quot;&amp;gt;&amp;lt;/icon&amp;gt;&lt;/icon&gt;&lt;text&gt;c_Diversion&lt;/text&gt;&lt;changeFrom&gt;&lt;/changeFrom&gt;&lt;changeTo&gt;&lt;/changeTo&gt;&lt;mp3&gt;H179.mp3&lt;/mp3&gt;&lt;/announcement&gt;&lt;announcement&gt;&lt;displayName&gt;c_Exclamation&lt;/displayName&gt;&lt;duration&gt;5&lt;/duration&gt;&lt;type&gt;&lt;/type&gt;&lt;icon&gt;&amp;lt;icon type=&amp;quot;c_Exclamation&amp;quot;&amp;gt;&amp;lt;/icon&amp;gt;&lt;/icon&gt;&lt;text&gt;c_Exclamation&lt;/text&gt;&lt;changeFrom&gt;&lt;/changeFrom&gt;&lt;changeTo&gt;&lt;/changeTo&gt;&lt;mp3&gt;H281.mp3&lt;/mp3&gt;&lt;/announcement&gt;&lt;announcement&gt;&lt;displayName&gt;c_Ferry&lt;/displayName&gt;&lt;duration&gt;5&lt;/duration&gt;&lt;type&gt;&lt;/type&gt;&lt;icon&gt;&amp;lt;icon type=&amp;quot;c_Ferry&amp;quot;&amp;gt;&amp;lt;/icon&amp;gt;&lt;/icon&gt;&lt;text&gt;c_Ferry&lt;/text&gt;&lt;changeFrom&gt;&lt;/changeFrom&gt;&lt;changeTo&gt;&lt;/changeTo&gt;&lt;mp3&gt;H284.mp3&lt;/mp3&gt;&lt;/announcement&gt;&lt;announcement&gt;&lt;displayName&gt;c_Funicular&lt;/displayName&gt;&lt;duration&gt;5&lt;/duration&gt;&lt;type&gt;&lt;/type&gt;&lt;icon&gt;&amp;lt;icon type=&amp;quot;c_Funicular&amp;quot;&amp;gt;&amp;lt;/icon&amp;gt;&lt;/icon&gt;&lt;text&gt;c_Funicular&lt;/text&gt;&lt;changeFrom&gt;&lt;/changeFrom&gt;&lt;changeTo&gt;&lt;/changeTo&gt;&lt;/announcement&gt;&lt;announcement&gt;&lt;displayName&gt;c_GoFurther&lt;/displayName&gt;&lt;duration&gt;5&lt;/duration&gt;&lt;type&gt;&lt;/type&gt;&lt;icon&gt;&amp;lt;icon type=&amp;quot;c_GoFurther&amp;quot;&amp;gt;&amp;lt;/icon&amp;gt;&lt;/icon&gt;&lt;text&gt;c_GoFurther&lt;/text&gt;&lt;changeFrom&gt;&lt;/changeFrom&gt;&lt;changeTo&gt;&lt;/changeTo&gt;&lt;mp3&gt;H279.mp3&lt;/mp3&gt;&lt;/announcement&gt;&lt;announcement&gt;&lt;displayName&gt;c_Children&lt;/displayName&gt;&lt;duration&gt;5&lt;/duration&gt;&lt;type&gt;&lt;/type&gt;&lt;icon&gt;&amp;lt;icon type=&amp;quot;c_Children&amp;quot;&amp;gt;&amp;lt;/icon&amp;gt;&lt;/icon&gt;&lt;text&gt;c_Children&lt;/text&gt;&lt;changeFrom&gt;&lt;/changeFrom&gt;&lt;changeTo&gt;&lt;/changeTo&gt;&lt;/announcement&gt;&lt;announcement&gt;&lt;displayName&gt;c_Info&lt;/displayName&gt;&lt;duration&gt;5&lt;/duration&gt;&lt;type&gt;&lt;/type&gt;&lt;icon&gt;&amp;lt;icon type=&amp;quot;c_Info&amp;quot;&amp;gt;&amp;lt;/icon&amp;gt;&lt;/icon&gt;&lt;text&gt;c_Info&lt;/text&gt;&lt;changeFrom&gt;&lt;/changeFrom&gt;&lt;changeTo&gt;&lt;/changeTo&gt;&lt;mp3&gt;H280.mp3&lt;/mp3&gt;&lt;/announcement&gt;&lt;announcement&gt;&lt;displayName&gt;c_Luggage&lt;/displayName&gt;&lt;duration&gt;5&lt;/duration&gt;&lt;type&gt;&lt;/type&gt;&lt;icon&gt;&amp;lt;icon type=&amp;quot;c_Luggage&amp;quot;&amp;gt;&amp;lt;/icon&amp;gt;&lt;/icon&gt;&lt;text&gt;c_Luggage&lt;/text&gt;&lt;changeFrom&gt;6,8&lt;/changeFrom&gt;&lt;changeTo&gt;7&lt;/changeTo&gt;&lt;/announcement&gt;&lt;announcement&gt;&lt;displayName&gt;c_Night&lt;/displayName&gt;&lt;duration&gt;5&lt;/duration&gt;&lt;type&gt;&lt;/type&gt;&lt;icon&gt;&amp;lt;icon type=&amp;quot;c_Night&amp;quot;&amp;gt;&amp;lt;/icon&amp;gt;&lt;/icon&gt;&lt;text&gt;c_Night&lt;/text&gt;&lt;changeFrom&gt;123&lt;/changeFrom&gt;&lt;changeTo&gt;XS2&lt;/changeTo&gt;&lt;/announcement&gt;&lt;announcement&gt;&lt;displayName&gt;c_NightInv&lt;/displayName&gt;&lt;duration&gt;5&lt;/duration&gt;&lt;type&gt;&lt;/type&gt;&lt;icon&gt;&amp;lt;icon type=&amp;quot;c_NightInv&amp;quot;&amp;gt;&amp;lt;/icon&amp;gt;&lt;/icon&gt;&lt;text&gt;c_NightInv&lt;/text&gt;&lt;changeFrom&gt;&lt;/changeFrom&gt;&lt;changeTo&gt;&lt;/changeTo&gt;&lt;/announcement&gt;&lt;announcement&gt;&lt;displayName&gt;c_NoFood&lt;/displayName&gt;&lt;duration&gt;5&lt;/duration&gt;&lt;type&gt;&lt;/type&gt;&lt;icon&gt;&amp;lt;icon type=&amp;quot;c_NoFood&amp;quot;&amp;gt;&amp;lt;/icon&amp;gt;&lt;/icon&gt;&lt;text&gt;c_NoFood&lt;/text&gt;&lt;changeFrom&gt;&lt;/changeFrom&gt;&lt;changeTo&gt;&lt;/changeTo&gt;&lt;/announcement&gt;&lt;announcement&gt;&lt;displayName&gt;c_NoFoodInv&lt;/displayName&gt;&lt;duration&gt;5&lt;/duration&gt;&lt;type&gt;&lt;/type&gt;&lt;icon&gt;&amp;lt;icon type=&amp;quot;c_NoFoodInv&amp;quot;&amp;gt;&amp;lt;/icon&amp;gt;&lt;/icon&gt;&lt;text&gt;c_NoFoodInv&lt;/text&gt;&lt;changeFrom&gt;&lt;/changeFrom&gt;&lt;changeTo&gt;&lt;/changeTo&gt;&lt;/announcement&gt;&lt;announcement&gt;&lt;displayName&gt;c_Pid&lt;/displayName&gt;&lt;duration&gt;5&lt;/duration&gt;&lt;type&gt;&lt;/type&gt;&lt;icon&gt;&amp;lt;icon type=&amp;quot;c_Pid&amp;quot;&amp;gt;&amp;lt;/icon&amp;gt;&lt;/icon&gt;&lt;text&gt;c_Pid&lt;/text&gt;&lt;changeFrom&gt;&lt;/changeFrom&gt;&lt;changeTo&gt;&lt;/changeTo&gt;&lt;/announcement&gt;&lt;announcement&gt;&lt;displayName&gt;c_Pram&lt;/displayName&gt;&lt;duration&gt;5&lt;/duration&gt;&lt;type&gt;&lt;/type&gt;&lt;icon&gt;&amp;lt;icon type=&amp;quot;c_Pram&amp;quot;&amp;gt;&amp;lt;/icon&amp;gt;&lt;/icon&gt;&lt;text&gt;c_Pram&lt;/text&gt;&lt;changeFrom&gt;&lt;/changeFrom&gt;&lt;changeTo&gt;&lt;/changeTo&gt;&lt;/announcement&gt;&lt;announcement&gt;&lt;displayName&gt;c_ReplacementService&lt;/displayName&gt;&lt;duration&gt;5&lt;/duration&gt;&lt;type&gt;&lt;/type&gt;&lt;icon&gt;&amp;lt;icon type=&amp;quot;c_ReplacementService&amp;quot;&amp;gt;&amp;lt;/icon&amp;gt;&lt;/icon&gt;&lt;text&gt;c_ReplacementService&lt;/text&gt;&lt;changeFrom&gt;&lt;/changeFrom&gt;&lt;changeTo&gt;&lt;/changeTo&gt;&lt;mp3&gt;H350.mp3&lt;/mp3&gt;&lt;/announcement&gt;&lt;announcement&gt;&lt;displayName&gt;c_RequestStop&lt;/displayName&gt;&lt;duration&gt;5&lt;/duration&gt;&lt;type&gt;&lt;/type&gt;&lt;icon&gt;&amp;lt;icon type=&amp;quot;c_RequestStop&amp;quot;&amp;gt;&amp;lt;/icon&amp;gt;&lt;/icon&gt;&lt;text&gt;c_RequestStop&lt;/text&gt;&lt;changeFrom&gt;&lt;/changeFrom&gt;&lt;changeTo&gt;&lt;/changeTo&gt;&lt;mp3&gt;H205.mp3&lt;/mp3&gt;&lt;/announcement&gt;&lt;announcement&gt;&lt;displayName&gt;c_RequestStopInv&lt;/displayName&gt;&lt;duration&gt;5&lt;/duration&gt;&lt;type&gt;&lt;/type&gt;&lt;icon&gt;&amp;lt;icon type=&amp;quot;c_RequestStopInv&amp;quot;&amp;gt;&amp;lt;/icon&amp;gt;&lt;/icon&gt;&lt;text&gt;c_RequestStopInv&lt;/text&gt;&lt;changeFrom&gt;&lt;/changeFrom&gt;&lt;changeTo&gt;&lt;/changeTo&gt;&lt;mp3&gt;H162.mp3&lt;/mp3&gt;&lt;/announcement&gt;&lt;announcement&gt;&lt;displayName&gt;c_SBahn&lt;/displayName&gt;&lt;duration&gt;5&lt;/duration&gt;&lt;type&gt;&lt;/type&gt;&lt;icon&gt;&amp;lt;icon type=&amp;quot;c_SBahn&amp;quot;&amp;gt;&amp;lt;/icon&amp;gt;&lt;/icon&gt;&lt;text&gt;c_SBahn&lt;/text&gt;&lt;changeFrom&gt;&lt;/changeFrom&gt;&lt;changeTo&gt;&lt;/changeTo&gt;&lt;mp3&gt;H164.mp3&lt;/mp3&gt;&lt;/announcement&gt;&lt;announcement&gt;&lt;displayName&gt;c_Train&lt;/displayName&gt;&lt;duration&gt;5&lt;/duration&gt;&lt;type&gt;&lt;/type&gt;&lt;icon&gt;&amp;lt;icon type=&amp;quot;c_Train&amp;quot;&amp;gt;&amp;lt;/icon&amp;gt;&lt;/icon&gt;&lt;text&gt;c_Train&lt;/text&gt;&lt;changeFrom&gt;&lt;/changeFrom&gt;&lt;changeTo&gt;&lt;/changeTo&gt;&lt;mp3&gt;H183.mp3&lt;/mp3&gt;&lt;/announcement&gt;&lt;announcement&gt;&lt;displayName&gt;c_TrainEnd&lt;/displayName&gt;&lt;duration&gt;5&lt;/duration&gt;&lt;type&gt;&lt;/type&gt;&lt;icon&gt;&amp;lt;icon type=&amp;quot;c_TrainEnd&amp;quot;&amp;gt;&amp;lt;/icon&amp;gt;&lt;/icon&gt;&lt;text&gt;c_TrainEnd&lt;/text&gt;&lt;changeFrom&gt;&lt;/changeFrom&gt;&lt;changeTo&gt;&lt;/changeTo&gt;&lt;mp3&gt;H182.mp3&lt;/mp3&gt;&lt;/announcement&gt;&lt;announcement&gt;&lt;displayName&gt;c_Tram&lt;/displayName&gt;&lt;duration&gt;5&lt;/duration&gt;&lt;type&gt;&lt;/type&gt;&lt;icon&gt;&amp;lt;icon type=&amp;quot;c_Tram&amp;quot;&amp;gt;&amp;lt;/icon&amp;gt;&lt;/icon&gt;&lt;text&gt;c_Tram&lt;/text&gt;&lt;changeFrom&gt;&lt;/changeFrom&gt;&lt;changeTo&gt;&lt;/changeTo&gt;&lt;mp3&gt;H201.mp3&lt;/mp3&gt;&lt;/announcement&gt;&lt;announcement&gt;&lt;displayName&gt;c_Trolleybus&lt;/displayName&gt;&lt;duration&gt;5&lt;/duration&gt;&lt;type&gt;&lt;/type&gt;&lt;icon&gt;&amp;lt;icon type=&amp;quot;c_Trolleybus&amp;quot;&amp;gt;&amp;lt;/icon&amp;gt;&lt;/icon&gt;&lt;text&gt;c_Trolleybus&lt;/text&gt;&lt;changeFrom&gt;&lt;/changeFrom&gt;&lt;changeTo&gt;&lt;/changeTo&gt;&lt;mp3&gt;H202.mp3&lt;/mp3&gt;&lt;/announcement&gt;&lt;announcement&gt;&lt;displayName&gt;c_UndergroundA&lt;/displayName&gt;&lt;duration&gt;5&lt;/duration&gt;&lt;type&gt;&lt;/type&gt;&lt;icon&gt;&amp;lt;icon type=&amp;quot;c_UndergroundA&amp;quot;&amp;gt;&amp;lt;/icon&amp;gt;&lt;/icon&gt;&lt;text&gt;c_UndergroundA&lt;/text&gt;&lt;changeFrom&gt;&lt;/changeFrom&gt;&lt;changeTo&gt;&lt;/changeTo&gt;&lt;mp3&gt;H203.mp3&lt;/mp3&gt;&lt;/announcement&gt;&lt;announcement&gt;&lt;displayName&gt;c_UndergroundB&lt;/displayName&gt;&lt;duration&gt;5&lt;/duration&gt;&lt;type&gt;&lt;/type&gt;&lt;icon&gt;&amp;lt;icon type=&amp;quot;c_UndergroundB&amp;quot;&amp;gt;&amp;lt;/icon&amp;gt;&lt;/icon&gt;&lt;text&gt;c_UndergroundB&lt;/text&gt;&lt;changeFrom&gt;&lt;/changeFrom&gt;&lt;changeTo&gt;&lt;/changeTo&gt;&lt;mp3&gt;H204.mp3&lt;/mp3&gt;&lt;/announcement&gt;&lt;announcement&gt;&lt;displayName&gt;c_UndergroundC&lt;/displayName&gt;&lt;duration&gt;5&lt;/duration&gt;&lt;type&gt;&lt;/type&gt;&lt;icon&gt;&amp;lt;icon type=&amp;quot;c_UndergroundC&amp;quot;&amp;gt;&amp;lt;/icon&amp;gt;&lt;/icon&gt;&lt;text&gt;c_UndergroundC&lt;/text&gt;&lt;changeFrom&gt;&lt;/changeFrom&gt;&lt;changeTo&gt;&lt;/changeTo&gt;&lt;mp3&gt;H205.mp3&lt;/mp3&gt;&lt;/announcement&gt;&lt;announcement&gt;&lt;displayName&gt;c_UndergroundD&lt;/displayName&gt;&lt;duration&gt;5&lt;/duration&gt;&lt;type&gt;&lt;/type&gt;&lt;icon&gt;&amp;lt;icon type=&amp;quot;c_UndergroundD&amp;quot;&amp;gt;&amp;lt;/icon&amp;gt;&lt;/icon&gt;&lt;text&gt;c_UndergroundD&lt;/text&gt;&lt;changeFrom&gt;&lt;/changeFrom&gt;&lt;changeTo&gt;&lt;/changeTo&gt;&lt;mp3&gt;H206.mp3&lt;/mp3&gt;&lt;/announcement&gt;&lt;announcement&gt;&lt;displayName&gt;c_WheelChair&lt;/displayName&gt;&lt;duration&gt;5&lt;/duration&gt;&lt;type&gt;&lt;/type&gt;&lt;icon&gt;&amp;lt;icon type=&amp;quot;c_WheelChair&amp;quot;&amp;gt;&amp;lt;/icon&amp;gt;&lt;/icon&gt;&lt;text&gt;c_WheelChair&lt;/text&gt;&lt;changeFrom&gt;&lt;/changeFrom&gt;&lt;changeTo&gt;&lt;/changeTo&gt;&lt;mp3&gt;H207.mp3&lt;/mp3&gt;&lt;/announcement&gt;&lt;announcement&gt;&lt;displayName&gt;c_WheelChairLine &lt;/displayName&gt;&lt;duration&gt;5&lt;/duration&gt;&lt;type&gt;&lt;/type&gt;&lt;icon&gt;&amp;lt;icon type=&amp;quot;c_WheelChairLine &amp;quot;&amp;gt;&amp;lt;/icon&amp;gt;&lt;/icon&gt;&lt;text&gt;c_WheelChairLine &lt;/text&gt;&lt;changeFrom&gt;&lt;/changeFrom&gt;&lt;changeTo&gt;&lt;/changeTo&gt;&lt;mp3&gt;H208.mp3&lt;/mp3&gt;&lt;/announcement&gt;&lt;announcement&gt;&lt;displayName&gt;c_ReplacementStop&lt;/displayName&gt;&lt;duration&gt;5&lt;/duration&gt;&lt;type&gt;&lt;/type&gt;&lt;icon&gt;&amp;lt;icon type=&amp;quot;c_ReplacementStop&amp;quot;&amp;gt;&amp;lt;/icon&amp;gt;&lt;/icon&gt;&lt;text&gt;c_ReplacementStop&lt;/text&gt;&lt;changeFrom&gt;&lt;/changeFrom&gt;&lt;changeTo&gt;&lt;/changeTo&gt;&lt;mp3&gt;H209.mp3&lt;/mp3&gt;&lt;/announcement&gt;&lt;/announcementList&gt;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2"/>
  <sheetViews>
    <sheetView workbookViewId="0">
      <pane ySplit="3" topLeftCell="A138" activePane="bottomLeft" state="frozen"/>
      <selection pane="bottomLeft" activeCell="A4" sqref="A4"/>
    </sheetView>
  </sheetViews>
  <sheetFormatPr defaultRowHeight="15.75" x14ac:dyDescent="0.25"/>
  <cols>
    <col min="1" max="1" width="10.7109375" style="4" bestFit="1" customWidth="1"/>
    <col min="2" max="2" width="45.28515625" style="4" bestFit="1" customWidth="1"/>
    <col min="3" max="3" width="24.140625" style="4" customWidth="1"/>
  </cols>
  <sheetData>
    <row r="1" spans="1:3" ht="12.75" x14ac:dyDescent="0.2">
      <c r="A1" s="26" t="s">
        <v>162</v>
      </c>
      <c r="B1" s="26"/>
      <c r="C1" s="26"/>
    </row>
    <row r="2" spans="1:3" ht="12.75" x14ac:dyDescent="0.2">
      <c r="A2" s="26"/>
      <c r="B2" s="26"/>
      <c r="C2" s="26"/>
    </row>
    <row r="3" spans="1:3" ht="13.5" thickBot="1" x14ac:dyDescent="0.25">
      <c r="A3" s="6" t="s">
        <v>0</v>
      </c>
      <c r="B3" s="6" t="s">
        <v>1</v>
      </c>
      <c r="C3" s="7" t="s">
        <v>2</v>
      </c>
    </row>
    <row r="4" spans="1:3" x14ac:dyDescent="0.25">
      <c r="A4" s="8">
        <v>5703</v>
      </c>
      <c r="B4" s="2" t="s">
        <v>51</v>
      </c>
      <c r="C4">
        <v>34172</v>
      </c>
    </row>
    <row r="5" spans="1:3" x14ac:dyDescent="0.25">
      <c r="A5" s="1">
        <v>5712</v>
      </c>
      <c r="B5" s="2" t="s">
        <v>44</v>
      </c>
      <c r="C5">
        <v>34181</v>
      </c>
    </row>
    <row r="6" spans="1:3" x14ac:dyDescent="0.25">
      <c r="A6" s="1">
        <v>5736</v>
      </c>
      <c r="B6" s="2" t="s">
        <v>52</v>
      </c>
      <c r="C6">
        <v>35954</v>
      </c>
    </row>
    <row r="7" spans="1:3" x14ac:dyDescent="0.25">
      <c r="A7" s="1">
        <v>5737</v>
      </c>
      <c r="B7" s="2" t="s">
        <v>53</v>
      </c>
      <c r="C7">
        <v>35955</v>
      </c>
    </row>
    <row r="8" spans="1:3" x14ac:dyDescent="0.25">
      <c r="A8" s="1">
        <v>5773</v>
      </c>
      <c r="B8" s="2" t="s">
        <v>49</v>
      </c>
      <c r="C8">
        <v>39637</v>
      </c>
    </row>
    <row r="9" spans="1:3" x14ac:dyDescent="0.25">
      <c r="A9" s="1">
        <v>5774</v>
      </c>
      <c r="B9" s="2" t="s">
        <v>116</v>
      </c>
      <c r="C9">
        <v>39638</v>
      </c>
    </row>
    <row r="10" spans="1:3" x14ac:dyDescent="0.25">
      <c r="A10" s="1">
        <v>5866</v>
      </c>
      <c r="B10" s="2" t="s">
        <v>50</v>
      </c>
      <c r="C10" s="3">
        <v>41798</v>
      </c>
    </row>
    <row r="11" spans="1:3" x14ac:dyDescent="0.25">
      <c r="A11" s="1">
        <v>5873</v>
      </c>
      <c r="B11" s="2" t="s">
        <v>54</v>
      </c>
      <c r="C11" s="3">
        <v>44443</v>
      </c>
    </row>
    <row r="12" spans="1:3" x14ac:dyDescent="0.25">
      <c r="A12" s="1">
        <v>5909</v>
      </c>
      <c r="B12" s="2" t="s">
        <v>43</v>
      </c>
      <c r="C12" s="3">
        <v>57613</v>
      </c>
    </row>
    <row r="13" spans="1:3" x14ac:dyDescent="0.25">
      <c r="A13" s="1">
        <v>5913</v>
      </c>
      <c r="B13" s="2" t="s">
        <v>55</v>
      </c>
      <c r="C13" s="3">
        <v>62619</v>
      </c>
    </row>
    <row r="14" spans="1:3" x14ac:dyDescent="0.25">
      <c r="A14" s="1">
        <v>5914</v>
      </c>
      <c r="B14" s="2" t="s">
        <v>56</v>
      </c>
      <c r="C14" s="3">
        <v>62620</v>
      </c>
    </row>
    <row r="15" spans="1:3" x14ac:dyDescent="0.25">
      <c r="A15" s="1">
        <v>6975</v>
      </c>
      <c r="B15" s="2" t="s">
        <v>35</v>
      </c>
      <c r="C15" s="3">
        <v>22614</v>
      </c>
    </row>
    <row r="16" spans="1:3" x14ac:dyDescent="0.25">
      <c r="A16" s="1">
        <v>6977</v>
      </c>
      <c r="B16" s="2" t="s">
        <v>36</v>
      </c>
      <c r="C16" s="3">
        <v>22615</v>
      </c>
    </row>
    <row r="17" spans="1:3" x14ac:dyDescent="0.25">
      <c r="A17" s="1">
        <v>7045</v>
      </c>
      <c r="B17" s="2" t="s">
        <v>115</v>
      </c>
      <c r="C17" s="3">
        <v>3170</v>
      </c>
    </row>
    <row r="18" spans="1:3" x14ac:dyDescent="0.25">
      <c r="A18" s="1">
        <v>7046</v>
      </c>
      <c r="B18" s="2" t="s">
        <v>8</v>
      </c>
      <c r="C18" s="3">
        <v>3171</v>
      </c>
    </row>
    <row r="19" spans="1:3" x14ac:dyDescent="0.25">
      <c r="A19" s="1">
        <v>7049</v>
      </c>
      <c r="B19" s="2" t="s">
        <v>9</v>
      </c>
      <c r="C19" s="3">
        <v>3175</v>
      </c>
    </row>
    <row r="20" spans="1:3" x14ac:dyDescent="0.25">
      <c r="A20" s="1">
        <v>7056</v>
      </c>
      <c r="B20" s="2" t="s">
        <v>10</v>
      </c>
      <c r="C20" s="3">
        <v>3181</v>
      </c>
    </row>
    <row r="21" spans="1:3" x14ac:dyDescent="0.25">
      <c r="A21" s="1">
        <v>7438</v>
      </c>
      <c r="B21" s="2" t="s">
        <v>11</v>
      </c>
      <c r="C21" s="3">
        <v>5369</v>
      </c>
    </row>
    <row r="22" spans="1:3" x14ac:dyDescent="0.25">
      <c r="A22" s="1">
        <v>7440</v>
      </c>
      <c r="B22" s="2" t="s">
        <v>12</v>
      </c>
      <c r="C22" s="3">
        <v>5370</v>
      </c>
    </row>
    <row r="23" spans="1:3" x14ac:dyDescent="0.25">
      <c r="A23" s="1">
        <v>7457</v>
      </c>
      <c r="B23" s="2" t="s">
        <v>13</v>
      </c>
      <c r="C23" s="3">
        <v>6503</v>
      </c>
    </row>
    <row r="24" spans="1:3" x14ac:dyDescent="0.25">
      <c r="A24" s="1">
        <v>7459</v>
      </c>
      <c r="B24" s="2" t="s">
        <v>57</v>
      </c>
      <c r="C24" s="3">
        <v>6505</v>
      </c>
    </row>
    <row r="25" spans="1:3" x14ac:dyDescent="0.25">
      <c r="A25" s="1">
        <v>7461</v>
      </c>
      <c r="B25" s="2" t="s">
        <v>14</v>
      </c>
      <c r="C25" s="3">
        <v>6507</v>
      </c>
    </row>
    <row r="26" spans="1:3" x14ac:dyDescent="0.25">
      <c r="A26" s="1">
        <v>7463</v>
      </c>
      <c r="B26" s="2" t="s">
        <v>15</v>
      </c>
      <c r="C26" s="3">
        <v>6509</v>
      </c>
    </row>
    <row r="27" spans="1:3" x14ac:dyDescent="0.25">
      <c r="A27" s="1">
        <v>7466</v>
      </c>
      <c r="B27" s="2" t="s">
        <v>58</v>
      </c>
      <c r="C27" s="3">
        <v>6512</v>
      </c>
    </row>
    <row r="28" spans="1:3" x14ac:dyDescent="0.25">
      <c r="A28" s="1">
        <v>7477</v>
      </c>
      <c r="B28" s="2" t="s">
        <v>16</v>
      </c>
      <c r="C28" s="3">
        <v>7029</v>
      </c>
    </row>
    <row r="29" spans="1:3" x14ac:dyDescent="0.25">
      <c r="A29" s="1">
        <v>7504</v>
      </c>
      <c r="B29" s="2" t="s">
        <v>17</v>
      </c>
      <c r="C29" s="3">
        <v>9397</v>
      </c>
    </row>
    <row r="30" spans="1:3" x14ac:dyDescent="0.25">
      <c r="A30" s="1">
        <v>7510</v>
      </c>
      <c r="B30" s="2" t="s">
        <v>20</v>
      </c>
      <c r="C30" s="3">
        <v>11109</v>
      </c>
    </row>
    <row r="31" spans="1:3" x14ac:dyDescent="0.25">
      <c r="A31" s="1">
        <v>7611</v>
      </c>
      <c r="B31" s="2" t="s">
        <v>21</v>
      </c>
      <c r="C31" s="3">
        <v>11934</v>
      </c>
    </row>
    <row r="32" spans="1:3" x14ac:dyDescent="0.25">
      <c r="A32" s="1">
        <v>7612</v>
      </c>
      <c r="B32" s="2" t="s">
        <v>62</v>
      </c>
      <c r="C32" s="3">
        <v>11935</v>
      </c>
    </row>
    <row r="33" spans="1:3" x14ac:dyDescent="0.25">
      <c r="A33" s="1">
        <v>7613</v>
      </c>
      <c r="B33" s="2" t="s">
        <v>22</v>
      </c>
      <c r="C33" s="3">
        <v>11936</v>
      </c>
    </row>
    <row r="34" spans="1:3" x14ac:dyDescent="0.25">
      <c r="A34" s="1">
        <v>7631</v>
      </c>
      <c r="B34" s="2" t="s">
        <v>63</v>
      </c>
      <c r="C34" s="3">
        <v>13917</v>
      </c>
    </row>
    <row r="35" spans="1:3" x14ac:dyDescent="0.25">
      <c r="A35" s="1">
        <v>7632</v>
      </c>
      <c r="B35" s="2" t="s">
        <v>64</v>
      </c>
      <c r="C35" s="3">
        <v>13919</v>
      </c>
    </row>
    <row r="36" spans="1:3" x14ac:dyDescent="0.25">
      <c r="A36" s="1">
        <v>7634</v>
      </c>
      <c r="B36" s="2" t="s">
        <v>65</v>
      </c>
      <c r="C36" s="3">
        <v>13921</v>
      </c>
    </row>
    <row r="37" spans="1:3" x14ac:dyDescent="0.25">
      <c r="A37" s="1">
        <v>7635</v>
      </c>
      <c r="B37" s="2" t="s">
        <v>66</v>
      </c>
      <c r="C37" s="3">
        <v>13922</v>
      </c>
    </row>
    <row r="38" spans="1:3" x14ac:dyDescent="0.25">
      <c r="A38" s="1">
        <v>7636</v>
      </c>
      <c r="B38" s="2" t="s">
        <v>67</v>
      </c>
      <c r="C38" s="3">
        <v>13923</v>
      </c>
    </row>
    <row r="39" spans="1:3" x14ac:dyDescent="0.25">
      <c r="A39" s="1">
        <v>7637</v>
      </c>
      <c r="B39" s="2" t="s">
        <v>68</v>
      </c>
      <c r="C39" s="3">
        <v>13924</v>
      </c>
    </row>
    <row r="40" spans="1:3" x14ac:dyDescent="0.25">
      <c r="A40" s="1">
        <v>7642</v>
      </c>
      <c r="B40" s="2" t="s">
        <v>26</v>
      </c>
      <c r="C40" s="3">
        <v>14698</v>
      </c>
    </row>
    <row r="41" spans="1:3" x14ac:dyDescent="0.25">
      <c r="A41" s="1">
        <v>7645</v>
      </c>
      <c r="B41" s="2" t="s">
        <v>72</v>
      </c>
      <c r="C41" s="3">
        <v>14701</v>
      </c>
    </row>
    <row r="42" spans="1:3" x14ac:dyDescent="0.25">
      <c r="A42" s="1">
        <v>7669</v>
      </c>
      <c r="B42" s="2" t="s">
        <v>69</v>
      </c>
      <c r="C42" s="3">
        <v>16251</v>
      </c>
    </row>
    <row r="43" spans="1:3" x14ac:dyDescent="0.25">
      <c r="A43" s="1">
        <v>7670</v>
      </c>
      <c r="B43" s="2" t="s">
        <v>70</v>
      </c>
      <c r="C43" s="3">
        <v>16252</v>
      </c>
    </row>
    <row r="44" spans="1:3" x14ac:dyDescent="0.25">
      <c r="A44" s="1">
        <v>7672</v>
      </c>
      <c r="B44" s="2" t="s">
        <v>73</v>
      </c>
      <c r="C44" s="3">
        <v>16254</v>
      </c>
    </row>
    <row r="45" spans="1:3" x14ac:dyDescent="0.25">
      <c r="A45" s="1">
        <v>7676</v>
      </c>
      <c r="B45" s="2" t="s">
        <v>74</v>
      </c>
      <c r="C45" s="3">
        <v>16257</v>
      </c>
    </row>
    <row r="46" spans="1:3" x14ac:dyDescent="0.25">
      <c r="A46" s="1">
        <v>7677</v>
      </c>
      <c r="B46" s="2" t="s">
        <v>75</v>
      </c>
      <c r="C46" s="3">
        <v>16258</v>
      </c>
    </row>
    <row r="47" spans="1:3" x14ac:dyDescent="0.25">
      <c r="A47" s="1">
        <v>7681</v>
      </c>
      <c r="B47" s="2" t="s">
        <v>71</v>
      </c>
      <c r="C47" s="3">
        <v>16262</v>
      </c>
    </row>
    <row r="48" spans="1:3" x14ac:dyDescent="0.25">
      <c r="A48" s="1">
        <v>7715</v>
      </c>
      <c r="B48" s="2" t="s">
        <v>76</v>
      </c>
      <c r="C48" s="3">
        <v>21072</v>
      </c>
    </row>
    <row r="49" spans="1:3" x14ac:dyDescent="0.25">
      <c r="A49" s="1">
        <v>7757</v>
      </c>
      <c r="B49" s="2" t="s">
        <v>37</v>
      </c>
      <c r="C49" s="3">
        <v>22689</v>
      </c>
    </row>
    <row r="50" spans="1:3" x14ac:dyDescent="0.25">
      <c r="A50" s="1">
        <v>7758</v>
      </c>
      <c r="B50" s="2" t="s">
        <v>38</v>
      </c>
      <c r="C50" s="3">
        <v>22690</v>
      </c>
    </row>
    <row r="51" spans="1:3" x14ac:dyDescent="0.25">
      <c r="A51" s="1">
        <v>7760</v>
      </c>
      <c r="B51" s="2" t="s">
        <v>39</v>
      </c>
      <c r="C51" s="3">
        <v>22692</v>
      </c>
    </row>
    <row r="52" spans="1:3" x14ac:dyDescent="0.25">
      <c r="A52" s="1">
        <v>7787</v>
      </c>
      <c r="B52" s="2" t="s">
        <v>40</v>
      </c>
      <c r="C52" s="3">
        <v>24407</v>
      </c>
    </row>
    <row r="53" spans="1:3" x14ac:dyDescent="0.25">
      <c r="A53" s="1">
        <v>7798</v>
      </c>
      <c r="B53" s="2" t="s">
        <v>41</v>
      </c>
      <c r="C53" s="3">
        <v>25712</v>
      </c>
    </row>
    <row r="54" spans="1:3" x14ac:dyDescent="0.25">
      <c r="A54" s="1">
        <v>7993</v>
      </c>
      <c r="B54" s="2" t="s">
        <v>42</v>
      </c>
      <c r="C54" s="3">
        <v>34136</v>
      </c>
    </row>
    <row r="55" spans="1:3" x14ac:dyDescent="0.25">
      <c r="A55" s="1">
        <v>7994</v>
      </c>
      <c r="B55" s="2" t="s">
        <v>117</v>
      </c>
      <c r="C55" s="3">
        <v>34137</v>
      </c>
    </row>
    <row r="56" spans="1:3" x14ac:dyDescent="0.25">
      <c r="A56" s="1">
        <v>9448</v>
      </c>
      <c r="B56" s="2" t="s">
        <v>89</v>
      </c>
      <c r="C56">
        <v>1150</v>
      </c>
    </row>
    <row r="57" spans="1:3" x14ac:dyDescent="0.25">
      <c r="A57" s="1">
        <v>9515</v>
      </c>
      <c r="B57" s="2" t="s">
        <v>77</v>
      </c>
      <c r="C57" s="3">
        <v>1500</v>
      </c>
    </row>
    <row r="58" spans="1:3" x14ac:dyDescent="0.25">
      <c r="A58" s="1">
        <v>31047</v>
      </c>
      <c r="B58" s="2" t="s">
        <v>92</v>
      </c>
      <c r="C58">
        <v>5598</v>
      </c>
    </row>
    <row r="59" spans="1:3" x14ac:dyDescent="0.25">
      <c r="A59" s="1">
        <v>31048</v>
      </c>
      <c r="B59" s="2" t="s">
        <v>91</v>
      </c>
      <c r="C59">
        <v>41387</v>
      </c>
    </row>
    <row r="60" spans="1:3" x14ac:dyDescent="0.25">
      <c r="A60" s="1">
        <v>31050</v>
      </c>
      <c r="B60" s="2" t="s">
        <v>142</v>
      </c>
      <c r="C60">
        <v>21206</v>
      </c>
    </row>
    <row r="61" spans="1:3" x14ac:dyDescent="0.25">
      <c r="A61" s="1">
        <v>31056</v>
      </c>
      <c r="B61" s="2" t="s">
        <v>86</v>
      </c>
      <c r="C61">
        <v>3496</v>
      </c>
    </row>
    <row r="62" spans="1:3" x14ac:dyDescent="0.25">
      <c r="A62" s="1">
        <v>31111</v>
      </c>
      <c r="B62" s="2" t="s">
        <v>90</v>
      </c>
      <c r="C62">
        <v>1148</v>
      </c>
    </row>
    <row r="63" spans="1:3" x14ac:dyDescent="0.25">
      <c r="A63" s="1">
        <v>31308</v>
      </c>
      <c r="B63" s="2" t="s">
        <v>132</v>
      </c>
      <c r="C63">
        <v>41699</v>
      </c>
    </row>
    <row r="64" spans="1:3" x14ac:dyDescent="0.25">
      <c r="A64" s="1">
        <v>31309</v>
      </c>
      <c r="B64" s="2" t="s">
        <v>128</v>
      </c>
      <c r="C64">
        <v>24034</v>
      </c>
    </row>
    <row r="65" spans="1:3" x14ac:dyDescent="0.25">
      <c r="A65" s="1">
        <v>31311</v>
      </c>
      <c r="B65" s="2" t="s">
        <v>129</v>
      </c>
      <c r="C65">
        <v>40457</v>
      </c>
    </row>
    <row r="66" spans="1:3" x14ac:dyDescent="0.25">
      <c r="A66" s="1">
        <v>31312</v>
      </c>
      <c r="B66" s="2" t="s">
        <v>130</v>
      </c>
      <c r="C66">
        <v>9424</v>
      </c>
    </row>
    <row r="67" spans="1:3" x14ac:dyDescent="0.25">
      <c r="A67" s="1">
        <v>31313</v>
      </c>
      <c r="B67" s="2" t="s">
        <v>133</v>
      </c>
      <c r="C67">
        <v>6196</v>
      </c>
    </row>
    <row r="68" spans="1:3" x14ac:dyDescent="0.25">
      <c r="A68" s="1">
        <v>31343</v>
      </c>
      <c r="B68" s="2" t="s">
        <v>131</v>
      </c>
      <c r="C68">
        <v>65048</v>
      </c>
    </row>
    <row r="69" spans="1:3" x14ac:dyDescent="0.25">
      <c r="A69" s="1">
        <v>31344</v>
      </c>
      <c r="B69" s="2" t="s">
        <v>134</v>
      </c>
      <c r="C69">
        <v>6194</v>
      </c>
    </row>
    <row r="70" spans="1:3" x14ac:dyDescent="0.25">
      <c r="A70" s="1">
        <v>31345</v>
      </c>
      <c r="B70" s="2" t="s">
        <v>135</v>
      </c>
      <c r="C70">
        <v>6195</v>
      </c>
    </row>
    <row r="71" spans="1:3" x14ac:dyDescent="0.25">
      <c r="A71" s="1">
        <v>31346</v>
      </c>
      <c r="B71" s="2" t="s">
        <v>136</v>
      </c>
      <c r="C71">
        <v>3114</v>
      </c>
    </row>
    <row r="72" spans="1:3" x14ac:dyDescent="0.25">
      <c r="A72" s="1">
        <v>31347</v>
      </c>
      <c r="B72" s="2" t="s">
        <v>137</v>
      </c>
      <c r="C72">
        <v>3116</v>
      </c>
    </row>
    <row r="73" spans="1:3" x14ac:dyDescent="0.25">
      <c r="A73" s="1">
        <v>31348</v>
      </c>
      <c r="B73" s="2" t="s">
        <v>93</v>
      </c>
      <c r="C73">
        <v>11513</v>
      </c>
    </row>
    <row r="74" spans="1:3" x14ac:dyDescent="0.25">
      <c r="A74" s="1">
        <v>31349</v>
      </c>
      <c r="B74" s="2" t="s">
        <v>94</v>
      </c>
      <c r="C74">
        <v>27282</v>
      </c>
    </row>
    <row r="75" spans="1:3" x14ac:dyDescent="0.25">
      <c r="A75" s="1">
        <v>31350</v>
      </c>
      <c r="B75" s="2" t="s">
        <v>95</v>
      </c>
      <c r="C75">
        <v>37573</v>
      </c>
    </row>
    <row r="76" spans="1:3" x14ac:dyDescent="0.25">
      <c r="A76" s="1">
        <v>31351</v>
      </c>
      <c r="B76" s="2" t="s">
        <v>96</v>
      </c>
      <c r="C76">
        <v>13112</v>
      </c>
    </row>
    <row r="77" spans="1:3" x14ac:dyDescent="0.25">
      <c r="A77" s="1">
        <v>31352</v>
      </c>
      <c r="B77" s="2" t="s">
        <v>98</v>
      </c>
      <c r="C77">
        <v>41282</v>
      </c>
    </row>
    <row r="78" spans="1:3" x14ac:dyDescent="0.25">
      <c r="A78" s="1">
        <v>31353</v>
      </c>
      <c r="B78" s="2" t="s">
        <v>99</v>
      </c>
      <c r="C78">
        <v>32548</v>
      </c>
    </row>
    <row r="79" spans="1:3" x14ac:dyDescent="0.25">
      <c r="A79" s="1">
        <v>31354</v>
      </c>
      <c r="B79" s="2" t="s">
        <v>100</v>
      </c>
      <c r="C79">
        <v>4761</v>
      </c>
    </row>
    <row r="80" spans="1:3" x14ac:dyDescent="0.25">
      <c r="A80" s="1">
        <v>31355</v>
      </c>
      <c r="B80" s="2" t="s">
        <v>97</v>
      </c>
      <c r="C80">
        <v>4770</v>
      </c>
    </row>
    <row r="81" spans="1:3" x14ac:dyDescent="0.25">
      <c r="A81" s="1">
        <v>31356</v>
      </c>
      <c r="B81" s="2" t="s">
        <v>123</v>
      </c>
      <c r="C81">
        <v>4226</v>
      </c>
    </row>
    <row r="82" spans="1:3" x14ac:dyDescent="0.25">
      <c r="A82" s="1">
        <v>31357</v>
      </c>
      <c r="B82" s="2" t="s">
        <v>124</v>
      </c>
      <c r="C82">
        <v>26560</v>
      </c>
    </row>
    <row r="83" spans="1:3" x14ac:dyDescent="0.25">
      <c r="A83" s="1">
        <v>31358</v>
      </c>
      <c r="B83" s="2" t="s">
        <v>125</v>
      </c>
      <c r="C83">
        <v>11863</v>
      </c>
    </row>
    <row r="84" spans="1:3" x14ac:dyDescent="0.25">
      <c r="A84" s="1">
        <v>31359</v>
      </c>
      <c r="B84" s="2" t="s">
        <v>101</v>
      </c>
      <c r="C84">
        <v>24055</v>
      </c>
    </row>
    <row r="85" spans="1:3" x14ac:dyDescent="0.25">
      <c r="A85" s="1">
        <v>31360</v>
      </c>
      <c r="B85" s="2" t="s">
        <v>102</v>
      </c>
      <c r="C85">
        <v>51199</v>
      </c>
    </row>
    <row r="86" spans="1:3" x14ac:dyDescent="0.25">
      <c r="A86" s="1">
        <v>31361</v>
      </c>
      <c r="B86" s="2" t="s">
        <v>103</v>
      </c>
      <c r="C86">
        <v>24036</v>
      </c>
    </row>
    <row r="87" spans="1:3" x14ac:dyDescent="0.25">
      <c r="A87" s="1">
        <v>31362</v>
      </c>
      <c r="B87" s="2" t="s">
        <v>122</v>
      </c>
      <c r="C87">
        <v>24041</v>
      </c>
    </row>
    <row r="88" spans="1:3" x14ac:dyDescent="0.25">
      <c r="A88" s="1">
        <v>31363</v>
      </c>
      <c r="B88" s="2" t="s">
        <v>104</v>
      </c>
      <c r="C88">
        <v>24059</v>
      </c>
    </row>
    <row r="89" spans="1:3" x14ac:dyDescent="0.25">
      <c r="A89" s="1">
        <v>31364</v>
      </c>
      <c r="B89" s="2" t="s">
        <v>127</v>
      </c>
      <c r="C89">
        <v>34460</v>
      </c>
    </row>
    <row r="90" spans="1:3" x14ac:dyDescent="0.25">
      <c r="A90" s="1">
        <v>31365</v>
      </c>
      <c r="B90" s="2" t="s">
        <v>105</v>
      </c>
      <c r="C90">
        <v>34461</v>
      </c>
    </row>
    <row r="91" spans="1:3" x14ac:dyDescent="0.25">
      <c r="A91" s="1">
        <v>31366</v>
      </c>
      <c r="B91" s="2" t="s">
        <v>106</v>
      </c>
      <c r="C91">
        <v>23566</v>
      </c>
    </row>
    <row r="92" spans="1:3" x14ac:dyDescent="0.25">
      <c r="A92" s="1">
        <v>31367</v>
      </c>
      <c r="B92" s="2" t="s">
        <v>126</v>
      </c>
      <c r="C92">
        <v>4081</v>
      </c>
    </row>
    <row r="93" spans="1:3" x14ac:dyDescent="0.25">
      <c r="A93" s="1">
        <v>31368</v>
      </c>
      <c r="B93" s="2" t="s">
        <v>138</v>
      </c>
      <c r="C93">
        <v>29525</v>
      </c>
    </row>
    <row r="94" spans="1:3" x14ac:dyDescent="0.25">
      <c r="A94" s="1">
        <v>31369</v>
      </c>
      <c r="B94" s="2" t="s">
        <v>139</v>
      </c>
      <c r="C94">
        <v>29523</v>
      </c>
    </row>
    <row r="95" spans="1:3" x14ac:dyDescent="0.25">
      <c r="A95" s="1">
        <v>31370</v>
      </c>
      <c r="B95" s="2" t="s">
        <v>140</v>
      </c>
      <c r="C95">
        <v>29524</v>
      </c>
    </row>
    <row r="96" spans="1:3" x14ac:dyDescent="0.25">
      <c r="A96" s="1">
        <v>31371</v>
      </c>
      <c r="B96" s="2" t="s">
        <v>141</v>
      </c>
      <c r="C96">
        <v>21211</v>
      </c>
    </row>
    <row r="97" spans="1:3" x14ac:dyDescent="0.25">
      <c r="A97" s="1">
        <v>31372</v>
      </c>
      <c r="B97" s="2" t="s">
        <v>88</v>
      </c>
      <c r="C97">
        <v>21208</v>
      </c>
    </row>
    <row r="98" spans="1:3" x14ac:dyDescent="0.25">
      <c r="A98" s="1">
        <v>31374</v>
      </c>
      <c r="B98" s="2" t="s">
        <v>143</v>
      </c>
      <c r="C98">
        <v>21219</v>
      </c>
    </row>
    <row r="99" spans="1:3" x14ac:dyDescent="0.25">
      <c r="A99" s="1">
        <v>31375</v>
      </c>
      <c r="B99" s="2" t="s">
        <v>144</v>
      </c>
      <c r="C99">
        <v>24001</v>
      </c>
    </row>
    <row r="100" spans="1:3" x14ac:dyDescent="0.25">
      <c r="A100" s="1">
        <v>31376</v>
      </c>
      <c r="B100" s="2" t="s">
        <v>145</v>
      </c>
      <c r="C100">
        <v>19660</v>
      </c>
    </row>
    <row r="101" spans="1:3" x14ac:dyDescent="0.25">
      <c r="A101" s="1">
        <v>31377</v>
      </c>
      <c r="B101" s="2" t="s">
        <v>146</v>
      </c>
      <c r="C101">
        <v>33405</v>
      </c>
    </row>
    <row r="102" spans="1:3" x14ac:dyDescent="0.25">
      <c r="A102" s="1">
        <v>31378</v>
      </c>
      <c r="B102" s="2" t="s">
        <v>147</v>
      </c>
      <c r="C102">
        <v>33413</v>
      </c>
    </row>
    <row r="103" spans="1:3" x14ac:dyDescent="0.25">
      <c r="A103" s="1">
        <v>31379</v>
      </c>
      <c r="B103" s="2" t="s">
        <v>148</v>
      </c>
      <c r="C103">
        <v>66367</v>
      </c>
    </row>
    <row r="104" spans="1:3" x14ac:dyDescent="0.25">
      <c r="A104" s="1">
        <v>31380</v>
      </c>
      <c r="B104" s="2" t="s">
        <v>149</v>
      </c>
      <c r="C104">
        <v>12480</v>
      </c>
    </row>
    <row r="105" spans="1:3" x14ac:dyDescent="0.25">
      <c r="A105" s="1">
        <v>31381</v>
      </c>
      <c r="B105" s="2" t="s">
        <v>87</v>
      </c>
      <c r="C105">
        <v>12485</v>
      </c>
    </row>
    <row r="106" spans="1:3" x14ac:dyDescent="0.25">
      <c r="A106" s="1">
        <v>31382</v>
      </c>
      <c r="B106" s="2" t="s">
        <v>107</v>
      </c>
      <c r="C106">
        <v>53705</v>
      </c>
    </row>
    <row r="107" spans="1:3" x14ac:dyDescent="0.25">
      <c r="A107" s="1">
        <v>31383</v>
      </c>
      <c r="B107" s="2" t="s">
        <v>108</v>
      </c>
      <c r="C107">
        <v>6692</v>
      </c>
    </row>
    <row r="108" spans="1:3" x14ac:dyDescent="0.25">
      <c r="A108" s="1">
        <v>31384</v>
      </c>
      <c r="B108" s="2" t="s">
        <v>109</v>
      </c>
      <c r="C108">
        <v>6693</v>
      </c>
    </row>
    <row r="109" spans="1:3" x14ac:dyDescent="0.25">
      <c r="A109" s="1">
        <v>31385</v>
      </c>
      <c r="B109" s="2" t="s">
        <v>110</v>
      </c>
      <c r="C109">
        <v>38300</v>
      </c>
    </row>
    <row r="110" spans="1:3" x14ac:dyDescent="0.25">
      <c r="A110" s="1">
        <v>31386</v>
      </c>
      <c r="B110" s="2" t="s">
        <v>111</v>
      </c>
      <c r="C110">
        <v>38308</v>
      </c>
    </row>
    <row r="111" spans="1:3" x14ac:dyDescent="0.25">
      <c r="A111" s="1">
        <v>31387</v>
      </c>
      <c r="B111" s="2" t="s">
        <v>112</v>
      </c>
      <c r="C111">
        <v>38297</v>
      </c>
    </row>
    <row r="112" spans="1:3" x14ac:dyDescent="0.25">
      <c r="A112" s="1">
        <v>31388</v>
      </c>
      <c r="B112" s="2" t="s">
        <v>113</v>
      </c>
      <c r="C112">
        <v>38293</v>
      </c>
    </row>
    <row r="113" spans="1:3" x14ac:dyDescent="0.25">
      <c r="A113" s="1">
        <v>31389</v>
      </c>
      <c r="B113" s="2" t="s">
        <v>121</v>
      </c>
      <c r="C113">
        <v>38316</v>
      </c>
    </row>
    <row r="114" spans="1:3" x14ac:dyDescent="0.25">
      <c r="A114" s="1">
        <v>31390</v>
      </c>
      <c r="B114" s="2" t="s">
        <v>120</v>
      </c>
      <c r="C114">
        <v>30530</v>
      </c>
    </row>
    <row r="115" spans="1:3" x14ac:dyDescent="0.25">
      <c r="A115" s="1">
        <v>31391</v>
      </c>
      <c r="B115" s="2" t="s">
        <v>119</v>
      </c>
      <c r="C115">
        <v>30526</v>
      </c>
    </row>
    <row r="116" spans="1:3" x14ac:dyDescent="0.25">
      <c r="A116" s="1">
        <v>31392</v>
      </c>
      <c r="B116" s="2" t="s">
        <v>114</v>
      </c>
      <c r="C116">
        <v>30536</v>
      </c>
    </row>
    <row r="117" spans="1:3" x14ac:dyDescent="0.25">
      <c r="A117" s="1">
        <v>31511</v>
      </c>
      <c r="B117" s="2" t="s">
        <v>4</v>
      </c>
      <c r="C117" s="3">
        <v>801</v>
      </c>
    </row>
    <row r="118" spans="1:3" x14ac:dyDescent="0.25">
      <c r="A118" s="1">
        <v>31514</v>
      </c>
      <c r="B118" s="2" t="s">
        <v>78</v>
      </c>
      <c r="C118" s="3">
        <v>805</v>
      </c>
    </row>
    <row r="119" spans="1:3" x14ac:dyDescent="0.25">
      <c r="A119" s="1">
        <v>31535</v>
      </c>
      <c r="B119" s="2" t="s">
        <v>5</v>
      </c>
      <c r="C119" s="3">
        <v>1511</v>
      </c>
    </row>
    <row r="120" spans="1:3" x14ac:dyDescent="0.25">
      <c r="A120" s="1">
        <v>31536</v>
      </c>
      <c r="B120" s="2" t="s">
        <v>6</v>
      </c>
      <c r="C120" s="3">
        <v>1512</v>
      </c>
    </row>
    <row r="121" spans="1:3" x14ac:dyDescent="0.25">
      <c r="A121" s="1">
        <v>31540</v>
      </c>
      <c r="B121" s="2" t="s">
        <v>7</v>
      </c>
      <c r="C121" s="3">
        <v>1526</v>
      </c>
    </row>
    <row r="122" spans="1:3" x14ac:dyDescent="0.25">
      <c r="A122" s="1">
        <v>31595</v>
      </c>
      <c r="B122" s="2" t="s">
        <v>79</v>
      </c>
      <c r="C122" s="3">
        <v>9384</v>
      </c>
    </row>
    <row r="123" spans="1:3" x14ac:dyDescent="0.25">
      <c r="A123" s="1">
        <v>31609</v>
      </c>
      <c r="B123" s="2" t="s">
        <v>80</v>
      </c>
      <c r="C123" s="3">
        <v>10763</v>
      </c>
    </row>
    <row r="124" spans="1:3" x14ac:dyDescent="0.25">
      <c r="A124" s="1">
        <v>31646</v>
      </c>
      <c r="B124" s="2" t="s">
        <v>23</v>
      </c>
      <c r="C124" s="3">
        <v>13657</v>
      </c>
    </row>
    <row r="125" spans="1:3" x14ac:dyDescent="0.25">
      <c r="A125" s="1">
        <v>31647</v>
      </c>
      <c r="B125" s="2" t="s">
        <v>24</v>
      </c>
      <c r="C125" s="3">
        <v>13660</v>
      </c>
    </row>
    <row r="126" spans="1:3" x14ac:dyDescent="0.25">
      <c r="A126" s="1">
        <v>31648</v>
      </c>
      <c r="B126" s="2" t="s">
        <v>81</v>
      </c>
      <c r="C126" s="3">
        <v>13661</v>
      </c>
    </row>
    <row r="127" spans="1:3" x14ac:dyDescent="0.25">
      <c r="A127" s="1">
        <v>31651</v>
      </c>
      <c r="B127" s="2" t="s">
        <v>82</v>
      </c>
      <c r="C127" s="3">
        <v>14696</v>
      </c>
    </row>
    <row r="128" spans="1:3" x14ac:dyDescent="0.25">
      <c r="A128" s="1">
        <v>31665</v>
      </c>
      <c r="B128" s="2" t="s">
        <v>27</v>
      </c>
      <c r="C128" s="3">
        <v>15801</v>
      </c>
    </row>
    <row r="129" spans="1:3" x14ac:dyDescent="0.25">
      <c r="A129" s="1">
        <v>31670</v>
      </c>
      <c r="B129" s="2" t="s">
        <v>28</v>
      </c>
      <c r="C129" s="3">
        <v>15808</v>
      </c>
    </row>
    <row r="130" spans="1:3" x14ac:dyDescent="0.25">
      <c r="A130" s="1">
        <v>31672</v>
      </c>
      <c r="B130" s="2" t="s">
        <v>29</v>
      </c>
      <c r="C130" s="3">
        <v>15811</v>
      </c>
    </row>
    <row r="131" spans="1:3" x14ac:dyDescent="0.25">
      <c r="A131" s="1">
        <v>31675</v>
      </c>
      <c r="B131" s="2" t="s">
        <v>83</v>
      </c>
      <c r="C131" s="3">
        <v>15818</v>
      </c>
    </row>
    <row r="132" spans="1:3" x14ac:dyDescent="0.25">
      <c r="A132" s="1">
        <v>31676</v>
      </c>
      <c r="B132" s="2" t="s">
        <v>30</v>
      </c>
      <c r="C132" s="3">
        <v>15819</v>
      </c>
    </row>
    <row r="133" spans="1:3" x14ac:dyDescent="0.25">
      <c r="A133" s="1">
        <v>31724</v>
      </c>
      <c r="B133" s="2" t="s">
        <v>118</v>
      </c>
      <c r="C133" s="3">
        <v>21083</v>
      </c>
    </row>
    <row r="134" spans="1:3" x14ac:dyDescent="0.25">
      <c r="A134" s="1">
        <v>31726</v>
      </c>
      <c r="B134" s="2" t="s">
        <v>31</v>
      </c>
      <c r="C134" s="3">
        <v>21093</v>
      </c>
    </row>
    <row r="135" spans="1:3" x14ac:dyDescent="0.25">
      <c r="A135" s="1">
        <v>31743</v>
      </c>
      <c r="B135" s="2" t="s">
        <v>84</v>
      </c>
      <c r="C135" s="3">
        <v>21365</v>
      </c>
    </row>
    <row r="136" spans="1:3" x14ac:dyDescent="0.25">
      <c r="A136" s="1">
        <v>31747</v>
      </c>
      <c r="B136" s="2" t="s">
        <v>32</v>
      </c>
      <c r="C136" s="3">
        <v>22390</v>
      </c>
    </row>
    <row r="137" spans="1:3" x14ac:dyDescent="0.25">
      <c r="A137" s="1">
        <v>31748</v>
      </c>
      <c r="B137" s="2" t="s">
        <v>33</v>
      </c>
      <c r="C137" s="3">
        <v>22392</v>
      </c>
    </row>
    <row r="138" spans="1:3" x14ac:dyDescent="0.25">
      <c r="A138" s="1">
        <v>31749</v>
      </c>
      <c r="B138" s="2" t="s">
        <v>25</v>
      </c>
      <c r="C138" s="3">
        <v>13663</v>
      </c>
    </row>
    <row r="139" spans="1:3" x14ac:dyDescent="0.25">
      <c r="A139" s="1">
        <v>31749</v>
      </c>
      <c r="B139" s="2" t="s">
        <v>34</v>
      </c>
      <c r="C139" s="3">
        <v>22394</v>
      </c>
    </row>
    <row r="140" spans="1:3" x14ac:dyDescent="0.25">
      <c r="A140" s="1">
        <v>31866</v>
      </c>
      <c r="B140" s="2" t="s">
        <v>45</v>
      </c>
      <c r="C140" s="3">
        <v>34237</v>
      </c>
    </row>
    <row r="141" spans="1:3" x14ac:dyDescent="0.25">
      <c r="A141" s="1">
        <v>31883</v>
      </c>
      <c r="B141" s="2" t="s">
        <v>46</v>
      </c>
      <c r="C141" s="3">
        <v>37934</v>
      </c>
    </row>
    <row r="142" spans="1:3" x14ac:dyDescent="0.25">
      <c r="A142" s="1">
        <v>31884</v>
      </c>
      <c r="B142" s="2" t="s">
        <v>47</v>
      </c>
      <c r="C142" s="3">
        <v>37935</v>
      </c>
    </row>
    <row r="143" spans="1:3" x14ac:dyDescent="0.25">
      <c r="A143" s="1">
        <v>31889</v>
      </c>
      <c r="B143" s="2" t="s">
        <v>48</v>
      </c>
      <c r="C143" s="3">
        <v>38964</v>
      </c>
    </row>
    <row r="144" spans="1:3" x14ac:dyDescent="0.25">
      <c r="A144" s="1" t="s">
        <v>159</v>
      </c>
      <c r="B144" s="2" t="s">
        <v>157</v>
      </c>
      <c r="C144">
        <v>3176</v>
      </c>
    </row>
    <row r="145" spans="1:3" x14ac:dyDescent="0.25">
      <c r="A145" s="1" t="s">
        <v>152</v>
      </c>
      <c r="B145" s="2" t="s">
        <v>153</v>
      </c>
      <c r="C145">
        <v>3177</v>
      </c>
    </row>
    <row r="146" spans="1:3" x14ac:dyDescent="0.25">
      <c r="A146" s="1" t="s">
        <v>158</v>
      </c>
      <c r="B146" s="2" t="s">
        <v>156</v>
      </c>
      <c r="C146">
        <v>3172</v>
      </c>
    </row>
    <row r="147" spans="1:3" x14ac:dyDescent="0.25">
      <c r="A147" s="1" t="s">
        <v>154</v>
      </c>
      <c r="B147" s="2" t="s">
        <v>155</v>
      </c>
      <c r="C147">
        <v>3174</v>
      </c>
    </row>
    <row r="148" spans="1:3" x14ac:dyDescent="0.25">
      <c r="A148" s="1" t="s">
        <v>150</v>
      </c>
      <c r="B148" s="2" t="s">
        <v>151</v>
      </c>
      <c r="C148">
        <v>3178</v>
      </c>
    </row>
    <row r="149" spans="1:3" x14ac:dyDescent="0.25">
      <c r="A149" s="1" t="s">
        <v>59</v>
      </c>
      <c r="B149" s="2" t="s">
        <v>18</v>
      </c>
      <c r="C149" s="3">
        <v>10755</v>
      </c>
    </row>
    <row r="150" spans="1:3" x14ac:dyDescent="0.25">
      <c r="A150" s="1" t="s">
        <v>60</v>
      </c>
      <c r="B150" s="2" t="s">
        <v>19</v>
      </c>
      <c r="C150" s="3">
        <v>10761</v>
      </c>
    </row>
    <row r="151" spans="1:3" x14ac:dyDescent="0.25">
      <c r="A151" s="1" t="s">
        <v>61</v>
      </c>
      <c r="B151" s="2" t="s">
        <v>85</v>
      </c>
      <c r="C151" s="3">
        <v>15513</v>
      </c>
    </row>
    <row r="152" spans="1:3" x14ac:dyDescent="0.25">
      <c r="A152" s="1" t="s">
        <v>160</v>
      </c>
      <c r="B152" s="2" t="s">
        <v>161</v>
      </c>
      <c r="C152">
        <v>38965</v>
      </c>
    </row>
  </sheetData>
  <mergeCells count="1">
    <mergeCell ref="A1:C2"/>
  </mergeCells>
  <conditionalFormatting sqref="A3:A152">
    <cfRule type="containsBlanks" dxfId="3" priority="10" stopIfTrue="1">
      <formula>LEN(TRIM(A3))=0</formula>
    </cfRule>
  </conditionalFormatting>
  <conditionalFormatting sqref="C3:C5 C94:C152">
    <cfRule type="containsBlanks" dxfId="2" priority="36" stopIfTrue="1">
      <formula>LEN(TRIM(C3))=0</formula>
    </cfRule>
  </conditionalFormatting>
  <conditionalFormatting sqref="C42">
    <cfRule type="containsBlanks" dxfId="1" priority="1" stopIfTrue="1">
      <formula>LEN(TRIM(C42))=0</formula>
    </cfRule>
  </conditionalFormatting>
  <conditionalFormatting sqref="C88:C92">
    <cfRule type="containsBlanks" dxfId="0" priority="2" stopIfTrue="1">
      <formula>LEN(TRIM(C88))=0</formula>
    </cfRule>
  </conditionalFormatting>
  <pageMargins left="0.7" right="0.7" top="0.78740157499999996" bottom="0.78740157499999996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4"/>
  <sheetViews>
    <sheetView topLeftCell="A4" workbookViewId="0">
      <selection activeCell="B4" sqref="B4"/>
    </sheetView>
  </sheetViews>
  <sheetFormatPr defaultRowHeight="12.75" x14ac:dyDescent="0.2"/>
  <cols>
    <col min="1" max="1" width="30" customWidth="1"/>
  </cols>
  <sheetData>
    <row r="1" spans="1:1" ht="15" x14ac:dyDescent="0.2">
      <c r="A1" s="16" t="s">
        <v>523</v>
      </c>
    </row>
    <row r="2" spans="1:1" ht="15" x14ac:dyDescent="0.2">
      <c r="A2" s="17" t="s">
        <v>524</v>
      </c>
    </row>
    <row r="3" spans="1:1" ht="15" x14ac:dyDescent="0.2">
      <c r="A3" s="17" t="s">
        <v>525</v>
      </c>
    </row>
    <row r="4" spans="1:1" ht="30" customHeight="1" x14ac:dyDescent="0.2">
      <c r="A4" s="17" t="s">
        <v>526</v>
      </c>
    </row>
    <row r="5" spans="1:1" ht="15" x14ac:dyDescent="0.2">
      <c r="A5" s="17" t="s">
        <v>527</v>
      </c>
    </row>
    <row r="6" spans="1:1" ht="15" x14ac:dyDescent="0.2">
      <c r="A6" s="17" t="s">
        <v>528</v>
      </c>
    </row>
    <row r="7" spans="1:1" ht="15" x14ac:dyDescent="0.2">
      <c r="A7" s="17" t="s">
        <v>529</v>
      </c>
    </row>
    <row r="8" spans="1:1" ht="15" x14ac:dyDescent="0.2">
      <c r="A8" s="17" t="s">
        <v>530</v>
      </c>
    </row>
    <row r="9" spans="1:1" ht="15" x14ac:dyDescent="0.2">
      <c r="A9" s="17" t="s">
        <v>531</v>
      </c>
    </row>
    <row r="10" spans="1:1" ht="15" x14ac:dyDescent="0.2">
      <c r="A10" s="17" t="s">
        <v>532</v>
      </c>
    </row>
    <row r="11" spans="1:1" ht="15" x14ac:dyDescent="0.2">
      <c r="A11" s="17" t="s">
        <v>533</v>
      </c>
    </row>
    <row r="12" spans="1:1" ht="15" x14ac:dyDescent="0.2">
      <c r="A12" s="17" t="s">
        <v>534</v>
      </c>
    </row>
    <row r="13" spans="1:1" ht="15" x14ac:dyDescent="0.2">
      <c r="A13" s="17" t="s">
        <v>535</v>
      </c>
    </row>
    <row r="14" spans="1:1" ht="15" x14ac:dyDescent="0.2">
      <c r="A14" s="17" t="s">
        <v>536</v>
      </c>
    </row>
    <row r="15" spans="1:1" ht="15" x14ac:dyDescent="0.2">
      <c r="A15" s="17" t="s">
        <v>537</v>
      </c>
    </row>
    <row r="16" spans="1:1" ht="15" x14ac:dyDescent="0.2">
      <c r="A16" s="17" t="s">
        <v>538</v>
      </c>
    </row>
    <row r="17" spans="1:1" ht="15" x14ac:dyDescent="0.2">
      <c r="A17" s="17" t="s">
        <v>539</v>
      </c>
    </row>
    <row r="18" spans="1:1" ht="15" x14ac:dyDescent="0.2">
      <c r="A18" s="17" t="s">
        <v>540</v>
      </c>
    </row>
    <row r="19" spans="1:1" ht="15" x14ac:dyDescent="0.2">
      <c r="A19" s="17" t="s">
        <v>541</v>
      </c>
    </row>
    <row r="20" spans="1:1" ht="15" x14ac:dyDescent="0.2">
      <c r="A20" s="17" t="s">
        <v>542</v>
      </c>
    </row>
    <row r="21" spans="1:1" ht="15" x14ac:dyDescent="0.2">
      <c r="A21" s="17" t="s">
        <v>543</v>
      </c>
    </row>
    <row r="22" spans="1:1" ht="15" x14ac:dyDescent="0.2">
      <c r="A22" s="17" t="s">
        <v>544</v>
      </c>
    </row>
    <row r="23" spans="1:1" ht="15" x14ac:dyDescent="0.2">
      <c r="A23" s="17" t="s">
        <v>545</v>
      </c>
    </row>
    <row r="24" spans="1:1" ht="15" x14ac:dyDescent="0.2">
      <c r="A24" s="18" t="s">
        <v>546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066D-F131-4F61-B8F1-E4F6C1FD3596}">
  <dimension ref="A1:G34"/>
  <sheetViews>
    <sheetView tabSelected="1" workbookViewId="0">
      <selection activeCell="G34" sqref="A1:G34"/>
    </sheetView>
  </sheetViews>
  <sheetFormatPr defaultRowHeight="12.75" x14ac:dyDescent="0.2"/>
  <cols>
    <col min="2" max="2" width="19" customWidth="1"/>
    <col min="6" max="6" width="16.140625" bestFit="1" customWidth="1"/>
  </cols>
  <sheetData>
    <row r="1" spans="1:7" ht="13.5" thickBot="1" x14ac:dyDescent="0.25">
      <c r="F1" t="s">
        <v>599</v>
      </c>
      <c r="G1" t="s">
        <v>600</v>
      </c>
    </row>
    <row r="2" spans="1:7" ht="15.75" thickBot="1" x14ac:dyDescent="0.25">
      <c r="A2" t="s">
        <v>586</v>
      </c>
      <c r="B2" s="23" t="s">
        <v>553</v>
      </c>
      <c r="C2" t="s">
        <v>587</v>
      </c>
      <c r="F2" s="3" t="s">
        <v>588</v>
      </c>
      <c r="G2" s="3" t="s">
        <v>588</v>
      </c>
    </row>
    <row r="3" spans="1:7" ht="15" x14ac:dyDescent="0.2">
      <c r="A3" t="s">
        <v>586</v>
      </c>
      <c r="B3" s="24" t="s">
        <v>554</v>
      </c>
      <c r="C3" t="s">
        <v>587</v>
      </c>
      <c r="F3" s="3" t="s">
        <v>588</v>
      </c>
      <c r="G3" s="3" t="s">
        <v>588</v>
      </c>
    </row>
    <row r="4" spans="1:7" ht="15" x14ac:dyDescent="0.2">
      <c r="A4" t="s">
        <v>586</v>
      </c>
      <c r="B4" s="24" t="s">
        <v>555</v>
      </c>
      <c r="C4" t="s">
        <v>587</v>
      </c>
      <c r="F4" s="3" t="s">
        <v>588</v>
      </c>
      <c r="G4" s="3" t="s">
        <v>588</v>
      </c>
    </row>
    <row r="5" spans="1:7" ht="15" x14ac:dyDescent="0.2">
      <c r="A5" t="s">
        <v>586</v>
      </c>
      <c r="B5" s="24" t="s">
        <v>556</v>
      </c>
      <c r="C5" t="s">
        <v>587</v>
      </c>
      <c r="F5" s="3" t="s">
        <v>588</v>
      </c>
      <c r="G5" s="3" t="s">
        <v>588</v>
      </c>
    </row>
    <row r="6" spans="1:7" ht="15" x14ac:dyDescent="0.2">
      <c r="A6" t="s">
        <v>586</v>
      </c>
      <c r="B6" s="24" t="s">
        <v>557</v>
      </c>
      <c r="C6" t="s">
        <v>587</v>
      </c>
      <c r="F6" s="3" t="s">
        <v>588</v>
      </c>
      <c r="G6" s="3" t="s">
        <v>588</v>
      </c>
    </row>
    <row r="7" spans="1:7" ht="15" x14ac:dyDescent="0.2">
      <c r="A7" t="s">
        <v>586</v>
      </c>
      <c r="B7" s="24" t="s">
        <v>558</v>
      </c>
      <c r="C7" t="s">
        <v>587</v>
      </c>
      <c r="F7" s="3" t="s">
        <v>589</v>
      </c>
      <c r="G7" s="3" t="s">
        <v>591</v>
      </c>
    </row>
    <row r="8" spans="1:7" ht="15" x14ac:dyDescent="0.2">
      <c r="A8" t="s">
        <v>586</v>
      </c>
      <c r="B8" s="24" t="s">
        <v>559</v>
      </c>
      <c r="C8" t="s">
        <v>587</v>
      </c>
      <c r="F8" s="3" t="s">
        <v>588</v>
      </c>
      <c r="G8" s="3" t="s">
        <v>588</v>
      </c>
    </row>
    <row r="9" spans="1:7" ht="15" x14ac:dyDescent="0.2">
      <c r="A9" t="s">
        <v>586</v>
      </c>
      <c r="B9" s="24" t="s">
        <v>560</v>
      </c>
      <c r="C9" t="s">
        <v>587</v>
      </c>
      <c r="F9" s="3" t="s">
        <v>588</v>
      </c>
      <c r="G9" s="3" t="s">
        <v>597</v>
      </c>
    </row>
    <row r="10" spans="1:7" ht="15" x14ac:dyDescent="0.2">
      <c r="A10" t="s">
        <v>586</v>
      </c>
      <c r="B10" s="24" t="s">
        <v>561</v>
      </c>
      <c r="C10" t="s">
        <v>587</v>
      </c>
      <c r="F10" s="3" t="s">
        <v>588</v>
      </c>
      <c r="G10" s="3" t="s">
        <v>597</v>
      </c>
    </row>
    <row r="11" spans="1:7" ht="15" x14ac:dyDescent="0.2">
      <c r="A11" t="s">
        <v>586</v>
      </c>
      <c r="B11" s="24" t="s">
        <v>562</v>
      </c>
      <c r="C11" t="s">
        <v>587</v>
      </c>
      <c r="F11" s="3" t="s">
        <v>589</v>
      </c>
      <c r="G11" s="3" t="s">
        <v>591</v>
      </c>
    </row>
    <row r="12" spans="1:7" ht="15" x14ac:dyDescent="0.2">
      <c r="A12" t="s">
        <v>586</v>
      </c>
      <c r="B12" s="24" t="s">
        <v>563</v>
      </c>
      <c r="C12" t="s">
        <v>587</v>
      </c>
      <c r="F12" s="3" t="s">
        <v>588</v>
      </c>
      <c r="G12" s="3" t="s">
        <v>588</v>
      </c>
    </row>
    <row r="13" spans="1:7" ht="15" x14ac:dyDescent="0.2">
      <c r="A13" t="s">
        <v>586</v>
      </c>
      <c r="B13" s="24" t="s">
        <v>564</v>
      </c>
      <c r="C13" t="s">
        <v>587</v>
      </c>
      <c r="F13" s="3" t="s">
        <v>588</v>
      </c>
      <c r="G13" s="3" t="s">
        <v>588</v>
      </c>
    </row>
    <row r="14" spans="1:7" ht="15" x14ac:dyDescent="0.2">
      <c r="A14" t="s">
        <v>586</v>
      </c>
      <c r="B14" s="24" t="s">
        <v>565</v>
      </c>
      <c r="C14" t="s">
        <v>587</v>
      </c>
      <c r="F14" s="3" t="s">
        <v>588</v>
      </c>
      <c r="G14" s="3" t="s">
        <v>588</v>
      </c>
    </row>
    <row r="15" spans="1:7" ht="15" x14ac:dyDescent="0.2">
      <c r="A15" t="s">
        <v>586</v>
      </c>
      <c r="B15" s="24" t="s">
        <v>566</v>
      </c>
      <c r="C15" t="s">
        <v>587</v>
      </c>
      <c r="F15" s="3" t="s">
        <v>588</v>
      </c>
      <c r="G15" s="3" t="s">
        <v>588</v>
      </c>
    </row>
    <row r="16" spans="1:7" ht="15" x14ac:dyDescent="0.2">
      <c r="A16" t="s">
        <v>586</v>
      </c>
      <c r="B16" s="24" t="s">
        <v>567</v>
      </c>
      <c r="C16" t="s">
        <v>587</v>
      </c>
      <c r="F16" s="3" t="s">
        <v>588</v>
      </c>
      <c r="G16" s="3" t="s">
        <v>588</v>
      </c>
    </row>
    <row r="17" spans="1:7" ht="15" x14ac:dyDescent="0.2">
      <c r="A17" t="s">
        <v>586</v>
      </c>
      <c r="B17" s="24" t="s">
        <v>568</v>
      </c>
      <c r="C17" t="s">
        <v>587</v>
      </c>
      <c r="F17" s="3" t="s">
        <v>590</v>
      </c>
      <c r="G17" s="3" t="s">
        <v>590</v>
      </c>
    </row>
    <row r="18" spans="1:7" ht="15" x14ac:dyDescent="0.2">
      <c r="A18" t="s">
        <v>586</v>
      </c>
      <c r="B18" s="24" t="s">
        <v>569</v>
      </c>
      <c r="C18" t="s">
        <v>587</v>
      </c>
      <c r="F18" s="3" t="s">
        <v>588</v>
      </c>
      <c r="G18" s="3" t="s">
        <v>588</v>
      </c>
    </row>
    <row r="19" spans="1:7" ht="15" x14ac:dyDescent="0.2">
      <c r="A19" t="s">
        <v>586</v>
      </c>
      <c r="B19" s="24" t="s">
        <v>570</v>
      </c>
      <c r="C19" t="s">
        <v>587</v>
      </c>
      <c r="F19" s="3" t="s">
        <v>588</v>
      </c>
      <c r="G19" s="3" t="s">
        <v>588</v>
      </c>
    </row>
    <row r="20" spans="1:7" ht="30" x14ac:dyDescent="0.2">
      <c r="A20" t="s">
        <v>586</v>
      </c>
      <c r="B20" s="24" t="s">
        <v>571</v>
      </c>
      <c r="C20" t="s">
        <v>587</v>
      </c>
      <c r="F20" s="3" t="s">
        <v>591</v>
      </c>
      <c r="G20" s="3" t="s">
        <v>588</v>
      </c>
    </row>
    <row r="21" spans="1:7" ht="15" x14ac:dyDescent="0.2">
      <c r="A21" t="s">
        <v>586</v>
      </c>
      <c r="B21" s="24" t="s">
        <v>572</v>
      </c>
      <c r="C21" t="s">
        <v>587</v>
      </c>
      <c r="G21" s="3" t="s">
        <v>588</v>
      </c>
    </row>
    <row r="22" spans="1:7" ht="15" x14ac:dyDescent="0.2">
      <c r="A22" t="s">
        <v>586</v>
      </c>
      <c r="B22" s="24" t="s">
        <v>573</v>
      </c>
      <c r="C22" t="s">
        <v>587</v>
      </c>
      <c r="F22" s="3" t="s">
        <v>591</v>
      </c>
      <c r="G22" s="3" t="s">
        <v>598</v>
      </c>
    </row>
    <row r="23" spans="1:7" ht="15" x14ac:dyDescent="0.2">
      <c r="A23" t="s">
        <v>586</v>
      </c>
      <c r="B23" s="24" t="s">
        <v>574</v>
      </c>
      <c r="C23" t="s">
        <v>587</v>
      </c>
      <c r="F23" s="3" t="s">
        <v>589</v>
      </c>
      <c r="G23" s="3" t="s">
        <v>591</v>
      </c>
    </row>
    <row r="24" spans="1:7" ht="15" x14ac:dyDescent="0.2">
      <c r="A24" t="s">
        <v>586</v>
      </c>
      <c r="B24" s="24" t="s">
        <v>575</v>
      </c>
      <c r="C24" t="s">
        <v>587</v>
      </c>
      <c r="F24" s="3" t="s">
        <v>588</v>
      </c>
      <c r="G24" s="3" t="s">
        <v>588</v>
      </c>
    </row>
    <row r="25" spans="1:7" ht="15" x14ac:dyDescent="0.2">
      <c r="A25" t="s">
        <v>586</v>
      </c>
      <c r="B25" s="24" t="s">
        <v>576</v>
      </c>
      <c r="C25" t="s">
        <v>587</v>
      </c>
      <c r="F25" s="3" t="s">
        <v>588</v>
      </c>
      <c r="G25" s="3" t="s">
        <v>588</v>
      </c>
    </row>
    <row r="26" spans="1:7" ht="15" x14ac:dyDescent="0.2">
      <c r="A26" t="s">
        <v>586</v>
      </c>
      <c r="B26" s="24" t="s">
        <v>577</v>
      </c>
      <c r="C26" t="s">
        <v>587</v>
      </c>
      <c r="F26" s="3" t="s">
        <v>588</v>
      </c>
      <c r="G26" s="3" t="s">
        <v>588</v>
      </c>
    </row>
    <row r="27" spans="1:7" ht="15" x14ac:dyDescent="0.2">
      <c r="A27" t="s">
        <v>586</v>
      </c>
      <c r="B27" s="24" t="s">
        <v>578</v>
      </c>
      <c r="C27" t="s">
        <v>587</v>
      </c>
      <c r="F27" s="3" t="s">
        <v>588</v>
      </c>
      <c r="G27" s="3" t="s">
        <v>588</v>
      </c>
    </row>
    <row r="28" spans="1:7" ht="15" x14ac:dyDescent="0.2">
      <c r="A28" t="s">
        <v>586</v>
      </c>
      <c r="B28" s="24" t="s">
        <v>579</v>
      </c>
      <c r="C28" t="s">
        <v>587</v>
      </c>
      <c r="F28" s="3" t="s">
        <v>591</v>
      </c>
      <c r="G28" s="3" t="s">
        <v>588</v>
      </c>
    </row>
    <row r="29" spans="1:7" ht="15" x14ac:dyDescent="0.2">
      <c r="A29" t="s">
        <v>586</v>
      </c>
      <c r="B29" s="24" t="s">
        <v>580</v>
      </c>
      <c r="C29" t="s">
        <v>587</v>
      </c>
      <c r="F29" s="3" t="s">
        <v>591</v>
      </c>
      <c r="G29" s="3" t="s">
        <v>588</v>
      </c>
    </row>
    <row r="30" spans="1:7" ht="15" x14ac:dyDescent="0.2">
      <c r="A30" t="s">
        <v>586</v>
      </c>
      <c r="B30" s="24" t="s">
        <v>581</v>
      </c>
      <c r="C30" t="s">
        <v>587</v>
      </c>
      <c r="F30" s="3" t="s">
        <v>591</v>
      </c>
      <c r="G30" s="3" t="s">
        <v>588</v>
      </c>
    </row>
    <row r="31" spans="1:7" ht="15" x14ac:dyDescent="0.2">
      <c r="A31" t="s">
        <v>586</v>
      </c>
      <c r="B31" s="24" t="s">
        <v>582</v>
      </c>
      <c r="C31" t="s">
        <v>587</v>
      </c>
      <c r="F31" s="3" t="s">
        <v>591</v>
      </c>
      <c r="G31" s="3" t="s">
        <v>588</v>
      </c>
    </row>
    <row r="32" spans="1:7" ht="15" x14ac:dyDescent="0.2">
      <c r="A32" t="s">
        <v>586</v>
      </c>
      <c r="B32" s="24" t="s">
        <v>583</v>
      </c>
      <c r="C32" t="s">
        <v>587</v>
      </c>
      <c r="F32" s="3" t="s">
        <v>588</v>
      </c>
      <c r="G32" s="3" t="s">
        <v>588</v>
      </c>
    </row>
    <row r="33" spans="1:7" ht="15" x14ac:dyDescent="0.2">
      <c r="A33" t="s">
        <v>586</v>
      </c>
      <c r="B33" s="24" t="s">
        <v>584</v>
      </c>
      <c r="C33" t="s">
        <v>587</v>
      </c>
      <c r="F33" s="3" t="s">
        <v>589</v>
      </c>
      <c r="G33" s="3" t="s">
        <v>591</v>
      </c>
    </row>
    <row r="34" spans="1:7" ht="30.75" thickBot="1" x14ac:dyDescent="0.25">
      <c r="A34" t="s">
        <v>586</v>
      </c>
      <c r="B34" s="25" t="s">
        <v>585</v>
      </c>
      <c r="C34" t="s">
        <v>587</v>
      </c>
      <c r="F34" s="3" t="s">
        <v>589</v>
      </c>
      <c r="G34" s="3" t="s">
        <v>591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AF6B-2164-4D11-9837-EED0CB9662F6}">
  <dimension ref="A1:J46"/>
  <sheetViews>
    <sheetView topLeftCell="D1" workbookViewId="0">
      <selection activeCell="J1" sqref="J1:J33"/>
    </sheetView>
  </sheetViews>
  <sheetFormatPr defaultRowHeight="12.75" x14ac:dyDescent="0.2"/>
  <cols>
    <col min="4" max="4" width="61.140625" bestFit="1" customWidth="1"/>
  </cols>
  <sheetData>
    <row r="1" spans="1:10" x14ac:dyDescent="0.2">
      <c r="A1" s="3" t="s">
        <v>596</v>
      </c>
      <c r="B1">
        <v>1</v>
      </c>
      <c r="C1" s="3" t="s">
        <v>592</v>
      </c>
      <c r="D1" s="3" t="str">
        <f>iconList!B2&amp;iconList!A2&amp;iconList!B2&amp;iconList!C2</f>
        <v>c_Accessible&amp;lt;icon type=&amp;quot;c_Accessible&amp;quot;&amp;gt;&amp;lt;/icon&amp;gt;</v>
      </c>
      <c r="E1" s="3" t="s">
        <v>593</v>
      </c>
      <c r="J1" t="str">
        <f>_xlfn.TEXTJOIN("",0,A1,B1,C1,D1,E1)</f>
        <v xml:space="preserve">  &lt;StopPoint&gt;
     &lt;StopIndex&gt;
      &lt;Value&gt;1&lt;/Value&gt;
     &lt;/StopIndex&gt;
     &lt;StopRef&gt;
      &lt;Value&gt;97_3&lt;/Value&gt;
     &lt;/StopRef&gt;
     &lt;GlobalStopRef&gt;
      &lt;Value&gt;55186&lt;/Value&gt;
     &lt;/GlobalStopRef&gt;
     &lt;StopName&gt;
      &lt;Value&gt;c_Accessible&amp;lt;icon type=&amp;quot;c_Accessible&amp;quot;&amp;gt;&amp;lt;/icon&amp;gt;&lt;/Value&gt;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" spans="1:10" x14ac:dyDescent="0.2">
      <c r="A2" s="3" t="s">
        <v>596</v>
      </c>
      <c r="B2">
        <v>2</v>
      </c>
      <c r="C2" s="3" t="s">
        <v>592</v>
      </c>
      <c r="D2" s="3" t="str">
        <f>iconList!B3&amp;iconList!A3&amp;iconList!B3&amp;iconList!C3</f>
        <v>c_Air&amp;lt;icon type=&amp;quot;c_Air&amp;quot;&amp;gt;&amp;lt;/icon&amp;gt;</v>
      </c>
      <c r="E2" s="3" t="s">
        <v>593</v>
      </c>
      <c r="J2" t="str">
        <f>_xlfn.TEXTJOIN("",0,A2,B2,C2,D2,E2)</f>
        <v xml:space="preserve">  &lt;StopPoint&gt;
     &lt;StopIndex&gt;
      &lt;Value&gt;2&lt;/Value&gt;
     &lt;/StopIndex&gt;
     &lt;StopRef&gt;
      &lt;Value&gt;97_3&lt;/Value&gt;
     &lt;/StopRef&gt;
     &lt;GlobalStopRef&gt;
      &lt;Value&gt;55186&lt;/Value&gt;
     &lt;/GlobalStopRef&gt;
     &lt;StopName&gt;
      &lt;Value&gt;c_Air&amp;lt;icon type=&amp;quot;c_Air&amp;quot;&amp;gt;&amp;lt;/icon&amp;gt;&lt;/Value&gt;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3" spans="1:10" x14ac:dyDescent="0.2">
      <c r="A3" s="3" t="s">
        <v>596</v>
      </c>
      <c r="B3">
        <v>3</v>
      </c>
      <c r="C3" s="3" t="s">
        <v>592</v>
      </c>
      <c r="D3" s="3" t="str">
        <f>iconList!B4&amp;iconList!A4&amp;iconList!B4&amp;iconList!C4</f>
        <v>c_Bus&amp;lt;icon type=&amp;quot;c_Bus&amp;quot;&amp;gt;&amp;lt;/icon&amp;gt;</v>
      </c>
      <c r="E3" s="3" t="s">
        <v>593</v>
      </c>
      <c r="J3" t="str">
        <f t="shared" ref="J3:J33" si="0">_xlfn.TEXTJOIN("",0,A3,B3,C3,D3,E3)</f>
        <v xml:space="preserve">  &lt;StopPoint&gt;
     &lt;StopIndex&gt;
      &lt;Value&gt;3&lt;/Value&gt;
     &lt;/StopIndex&gt;
     &lt;StopRef&gt;
      &lt;Value&gt;97_3&lt;/Value&gt;
     &lt;/StopRef&gt;
     &lt;GlobalStopRef&gt;
      &lt;Value&gt;55186&lt;/Value&gt;
     &lt;/GlobalStopRef&gt;
     &lt;StopName&gt;
      &lt;Value&gt;c_Bus&amp;lt;icon type=&amp;quot;c_Bus&amp;quot;&amp;gt;&amp;lt;/icon&amp;gt;&lt;/Value&gt;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4" spans="1:10" x14ac:dyDescent="0.2">
      <c r="A4" s="3" t="s">
        <v>596</v>
      </c>
      <c r="B4">
        <v>4</v>
      </c>
      <c r="C4" s="3" t="s">
        <v>592</v>
      </c>
      <c r="D4" s="3" t="str">
        <f>iconList!B5&amp;iconList!A5&amp;iconList!B5&amp;iconList!C5</f>
        <v>c_Congestion&amp;lt;icon type=&amp;quot;c_Congestion&amp;quot;&amp;gt;&amp;lt;/icon&amp;gt;</v>
      </c>
      <c r="E4" s="3" t="s">
        <v>593</v>
      </c>
      <c r="J4" t="str">
        <f t="shared" si="0"/>
        <v xml:space="preserve">  &lt;StopPoint&gt;
     &lt;StopIndex&gt;
      &lt;Value&gt;4&lt;/Value&gt;
     &lt;/StopIndex&gt;
     &lt;StopRef&gt;
      &lt;Value&gt;97_3&lt;/Value&gt;
     &lt;/StopRef&gt;
     &lt;GlobalStopRef&gt;
      &lt;Value&gt;55186&lt;/Value&gt;
     &lt;/GlobalStopRef&gt;
     &lt;StopName&gt;
      &lt;Value&gt;c_Congestion&amp;lt;icon type=&amp;quot;c_Congestion&amp;quot;&amp;gt;&amp;lt;/icon&amp;gt;&lt;/Value&gt;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5" spans="1:10" x14ac:dyDescent="0.2">
      <c r="A5" s="3" t="s">
        <v>596</v>
      </c>
      <c r="B5">
        <v>5</v>
      </c>
      <c r="C5" s="3" t="s">
        <v>592</v>
      </c>
      <c r="D5" s="3" t="str">
        <f>iconList!B6&amp;iconList!A6&amp;iconList!B6&amp;iconList!C6</f>
        <v>c_Diversion&amp;lt;icon type=&amp;quot;c_Diversion&amp;quot;&amp;gt;&amp;lt;/icon&amp;gt;</v>
      </c>
      <c r="E5" s="3" t="s">
        <v>593</v>
      </c>
      <c r="J5" t="str">
        <f t="shared" si="0"/>
        <v xml:space="preserve">  &lt;StopPoint&gt;
     &lt;StopIndex&gt;
      &lt;Value&gt;5&lt;/Value&gt;
     &lt;/StopIndex&gt;
     &lt;StopRef&gt;
      &lt;Value&gt;97_3&lt;/Value&gt;
     &lt;/StopRef&gt;
     &lt;GlobalStopRef&gt;
      &lt;Value&gt;55186&lt;/Value&gt;
     &lt;/GlobalStopRef&gt;
     &lt;StopName&gt;
      &lt;Value&gt;c_Diversion&amp;lt;icon type=&amp;quot;c_Diversion&amp;quot;&amp;gt;&amp;lt;/icon&amp;gt;&lt;/Value&gt;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6" spans="1:10" x14ac:dyDescent="0.2">
      <c r="A6" s="3" t="s">
        <v>596</v>
      </c>
      <c r="B6">
        <v>6</v>
      </c>
      <c r="C6" s="3" t="s">
        <v>592</v>
      </c>
      <c r="D6" s="3" t="str">
        <f>iconList!B7&amp;iconList!A7&amp;iconList!B7&amp;iconList!C7</f>
        <v>c_Exclamation&amp;lt;icon type=&amp;quot;c_Exclamation&amp;quot;&amp;gt;&amp;lt;/icon&amp;gt;</v>
      </c>
      <c r="E6" s="3" t="s">
        <v>593</v>
      </c>
      <c r="J6" t="str">
        <f t="shared" si="0"/>
        <v xml:space="preserve">  &lt;StopPoint&gt;
     &lt;StopIndex&gt;
      &lt;Value&gt;6&lt;/Value&gt;
     &lt;/StopIndex&gt;
     &lt;StopRef&gt;
      &lt;Value&gt;97_3&lt;/Value&gt;
     &lt;/StopRef&gt;
     &lt;GlobalStopRef&gt;
      &lt;Value&gt;55186&lt;/Value&gt;
     &lt;/GlobalStopRef&gt;
     &lt;StopName&gt;
      &lt;Value&gt;c_Exclamation&amp;lt;icon type=&amp;quot;c_Exclamation&amp;quot;&amp;gt;&amp;lt;/icon&amp;gt;&lt;/Value&gt;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7" spans="1:10" x14ac:dyDescent="0.2">
      <c r="A7" s="3" t="s">
        <v>596</v>
      </c>
      <c r="B7">
        <v>7</v>
      </c>
      <c r="C7" s="3" t="s">
        <v>592</v>
      </c>
      <c r="D7" s="3" t="str">
        <f>iconList!B8&amp;iconList!A8&amp;iconList!B8&amp;iconList!C8</f>
        <v>c_Ferry&amp;lt;icon type=&amp;quot;c_Ferry&amp;quot;&amp;gt;&amp;lt;/icon&amp;gt;</v>
      </c>
      <c r="E7" s="3" t="s">
        <v>593</v>
      </c>
      <c r="J7" t="str">
        <f t="shared" si="0"/>
        <v xml:space="preserve">  &lt;StopPoint&gt;
     &lt;StopIndex&gt;
      &lt;Value&gt;7&lt;/Value&gt;
     &lt;/StopIndex&gt;
     &lt;StopRef&gt;
      &lt;Value&gt;97_3&lt;/Value&gt;
     &lt;/StopRef&gt;
     &lt;GlobalStopRef&gt;
      &lt;Value&gt;55186&lt;/Value&gt;
     &lt;/GlobalStopRef&gt;
     &lt;StopName&gt;
      &lt;Value&gt;c_Ferry&amp;lt;icon type=&amp;quot;c_Ferry&amp;quot;&amp;gt;&amp;lt;/icon&amp;gt;&lt;/Value&gt;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8" spans="1:10" x14ac:dyDescent="0.2">
      <c r="A8" s="3" t="s">
        <v>596</v>
      </c>
      <c r="B8">
        <v>8</v>
      </c>
      <c r="C8" s="3" t="s">
        <v>592</v>
      </c>
      <c r="D8" s="3" t="str">
        <f>iconList!B9&amp;iconList!A9&amp;iconList!B9&amp;iconList!C9</f>
        <v>c_Funicular&amp;lt;icon type=&amp;quot;c_Funicular&amp;quot;&amp;gt;&amp;lt;/icon&amp;gt;</v>
      </c>
      <c r="E8" s="3" t="s">
        <v>593</v>
      </c>
      <c r="J8" t="str">
        <f t="shared" si="0"/>
        <v xml:space="preserve">  &lt;StopPoint&gt;
     &lt;StopIndex&gt;
      &lt;Value&gt;8&lt;/Value&gt;
     &lt;/StopIndex&gt;
     &lt;StopRef&gt;
      &lt;Value&gt;97_3&lt;/Value&gt;
     &lt;/StopRef&gt;
     &lt;GlobalStopRef&gt;
      &lt;Value&gt;55186&lt;/Value&gt;
     &lt;/GlobalStopRef&gt;
     &lt;StopName&gt;
      &lt;Value&gt;c_Funicular&amp;lt;icon type=&amp;quot;c_Funicular&amp;quot;&amp;gt;&amp;lt;/icon&amp;gt;&lt;/Value&gt;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9" spans="1:10" x14ac:dyDescent="0.2">
      <c r="A9" s="3" t="s">
        <v>596</v>
      </c>
      <c r="B9">
        <v>9</v>
      </c>
      <c r="C9" s="3" t="s">
        <v>592</v>
      </c>
      <c r="D9" s="3" t="str">
        <f>iconList!B10&amp;iconList!A10&amp;iconList!B10&amp;iconList!C10</f>
        <v>c_GoFurther&amp;lt;icon type=&amp;quot;c_GoFurther&amp;quot;&amp;gt;&amp;lt;/icon&amp;gt;</v>
      </c>
      <c r="E9" s="3" t="s">
        <v>593</v>
      </c>
      <c r="J9" t="str">
        <f t="shared" si="0"/>
        <v xml:space="preserve">  &lt;StopPoint&gt;
     &lt;StopIndex&gt;
      &lt;Value&gt;9&lt;/Value&gt;
     &lt;/StopIndex&gt;
     &lt;StopRef&gt;
      &lt;Value&gt;97_3&lt;/Value&gt;
     &lt;/StopRef&gt;
     &lt;GlobalStopRef&gt;
      &lt;Value&gt;55186&lt;/Value&gt;
     &lt;/GlobalStopRef&gt;
     &lt;StopName&gt;
      &lt;Value&gt;c_GoFurther&amp;lt;icon type=&amp;quot;c_GoFurther&amp;quot;&amp;gt;&amp;lt;/icon&amp;gt;&lt;/Value&gt;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0" spans="1:10" x14ac:dyDescent="0.2">
      <c r="A10" s="3" t="s">
        <v>596</v>
      </c>
      <c r="B10">
        <v>10</v>
      </c>
      <c r="C10" s="3" t="s">
        <v>592</v>
      </c>
      <c r="D10" s="3" t="str">
        <f>iconList!B11&amp;iconList!A11&amp;iconList!B11&amp;iconList!C11</f>
        <v>c_Children&amp;lt;icon type=&amp;quot;c_Children&amp;quot;&amp;gt;&amp;lt;/icon&amp;gt;</v>
      </c>
      <c r="E10" s="3" t="s">
        <v>593</v>
      </c>
      <c r="J10" t="str">
        <f t="shared" si="0"/>
        <v xml:space="preserve">  &lt;StopPoint&gt;
     &lt;StopIndex&gt;
      &lt;Value&gt;10&lt;/Value&gt;
     &lt;/StopIndex&gt;
     &lt;StopRef&gt;
      &lt;Value&gt;97_3&lt;/Value&gt;
     &lt;/StopRef&gt;
     &lt;GlobalStopRef&gt;
      &lt;Value&gt;55186&lt;/Value&gt;
     &lt;/GlobalStopRef&gt;
     &lt;StopName&gt;
      &lt;Value&gt;c_Children&amp;lt;icon type=&amp;quot;c_Children&amp;quot;&amp;gt;&amp;lt;/icon&amp;gt;&lt;/Value&gt;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1" spans="1:10" x14ac:dyDescent="0.2">
      <c r="A11" s="3" t="s">
        <v>596</v>
      </c>
      <c r="B11">
        <v>11</v>
      </c>
      <c r="C11" s="3" t="s">
        <v>592</v>
      </c>
      <c r="D11" s="3" t="str">
        <f>iconList!B12&amp;iconList!A12&amp;iconList!B12&amp;iconList!C12</f>
        <v>c_Info&amp;lt;icon type=&amp;quot;c_Info&amp;quot;&amp;gt;&amp;lt;/icon&amp;gt;</v>
      </c>
      <c r="E11" s="3" t="s">
        <v>593</v>
      </c>
      <c r="J11" t="str">
        <f t="shared" si="0"/>
        <v xml:space="preserve">  &lt;StopPoint&gt;
     &lt;StopIndex&gt;
      &lt;Value&gt;11&lt;/Value&gt;
     &lt;/StopIndex&gt;
     &lt;StopRef&gt;
      &lt;Value&gt;97_3&lt;/Value&gt;
     &lt;/StopRef&gt;
     &lt;GlobalStopRef&gt;
      &lt;Value&gt;55186&lt;/Value&gt;
     &lt;/GlobalStopRef&gt;
     &lt;StopName&gt;
      &lt;Value&gt;c_Info&amp;lt;icon type=&amp;quot;c_Info&amp;quot;&amp;gt;&amp;lt;/icon&amp;gt;&lt;/Value&gt;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2" spans="1:10" x14ac:dyDescent="0.2">
      <c r="A12" s="3" t="s">
        <v>596</v>
      </c>
      <c r="B12">
        <v>12</v>
      </c>
      <c r="C12" s="3" t="s">
        <v>592</v>
      </c>
      <c r="D12" s="3" t="str">
        <f>iconList!B13&amp;iconList!A13&amp;iconList!B13&amp;iconList!C13</f>
        <v>c_Luggage&amp;lt;icon type=&amp;quot;c_Luggage&amp;quot;&amp;gt;&amp;lt;/icon&amp;gt;</v>
      </c>
      <c r="E12" s="3" t="s">
        <v>593</v>
      </c>
      <c r="J12" t="str">
        <f t="shared" si="0"/>
        <v xml:space="preserve">  &lt;StopPoint&gt;
     &lt;StopIndex&gt;
      &lt;Value&gt;12&lt;/Value&gt;
     &lt;/StopIndex&gt;
     &lt;StopRef&gt;
      &lt;Value&gt;97_3&lt;/Value&gt;
     &lt;/StopRef&gt;
     &lt;GlobalStopRef&gt;
      &lt;Value&gt;55186&lt;/Value&gt;
     &lt;/GlobalStopRef&gt;
     &lt;StopName&gt;
      &lt;Value&gt;c_Luggage&amp;lt;icon type=&amp;quot;c_Luggage&amp;quot;&amp;gt;&amp;lt;/icon&amp;gt;&lt;/Value&gt;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3" spans="1:10" x14ac:dyDescent="0.2">
      <c r="A13" s="3" t="s">
        <v>596</v>
      </c>
      <c r="B13">
        <v>13</v>
      </c>
      <c r="C13" s="3" t="s">
        <v>592</v>
      </c>
      <c r="D13" s="3" t="str">
        <f>iconList!B14&amp;iconList!A14&amp;iconList!B14&amp;iconList!C14</f>
        <v>c_Night&amp;lt;icon type=&amp;quot;c_Night&amp;quot;&amp;gt;&amp;lt;/icon&amp;gt;</v>
      </c>
      <c r="E13" s="3" t="s">
        <v>593</v>
      </c>
      <c r="J13" t="str">
        <f t="shared" si="0"/>
        <v xml:space="preserve">  &lt;StopPoint&gt;
     &lt;StopIndex&gt;
      &lt;Value&gt;13&lt;/Value&gt;
     &lt;/StopIndex&gt;
     &lt;StopRef&gt;
      &lt;Value&gt;97_3&lt;/Value&gt;
     &lt;/StopRef&gt;
     &lt;GlobalStopRef&gt;
      &lt;Value&gt;55186&lt;/Value&gt;
     &lt;/GlobalStopRef&gt;
     &lt;StopName&gt;
      &lt;Value&gt;c_Night&amp;lt;icon type=&amp;quot;c_Night&amp;quot;&amp;gt;&amp;lt;/icon&amp;gt;&lt;/Value&gt;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4" spans="1:10" x14ac:dyDescent="0.2">
      <c r="A14" s="3" t="s">
        <v>596</v>
      </c>
      <c r="B14">
        <v>14</v>
      </c>
      <c r="C14" s="3" t="s">
        <v>592</v>
      </c>
      <c r="D14" s="3" t="str">
        <f>iconList!B15&amp;iconList!A15&amp;iconList!B15&amp;iconList!C15</f>
        <v>c_NightInv&amp;lt;icon type=&amp;quot;c_NightInv&amp;quot;&amp;gt;&amp;lt;/icon&amp;gt;</v>
      </c>
      <c r="E14" s="3" t="s">
        <v>593</v>
      </c>
      <c r="J14" t="str">
        <f t="shared" si="0"/>
        <v xml:space="preserve">  &lt;StopPoint&gt;
     &lt;StopIndex&gt;
      &lt;Value&gt;14&lt;/Value&gt;
     &lt;/StopIndex&gt;
     &lt;StopRef&gt;
      &lt;Value&gt;97_3&lt;/Value&gt;
     &lt;/StopRef&gt;
     &lt;GlobalStopRef&gt;
      &lt;Value&gt;55186&lt;/Value&gt;
     &lt;/GlobalStopRef&gt;
     &lt;StopName&gt;
      &lt;Value&gt;c_NightInv&amp;lt;icon type=&amp;quot;c_NightInv&amp;quot;&amp;gt;&amp;lt;/icon&amp;gt;&lt;/Value&gt;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5" spans="1:10" x14ac:dyDescent="0.2">
      <c r="A15" s="3" t="s">
        <v>596</v>
      </c>
      <c r="B15">
        <v>15</v>
      </c>
      <c r="C15" s="3" t="s">
        <v>592</v>
      </c>
      <c r="D15" s="3" t="str">
        <f>iconList!B16&amp;iconList!A16&amp;iconList!B16&amp;iconList!C16</f>
        <v>c_NoFood&amp;lt;icon type=&amp;quot;c_NoFood&amp;quot;&amp;gt;&amp;lt;/icon&amp;gt;</v>
      </c>
      <c r="E15" s="3" t="s">
        <v>593</v>
      </c>
      <c r="J15" t="str">
        <f t="shared" si="0"/>
        <v xml:space="preserve">  &lt;StopPoint&gt;
     &lt;StopIndex&gt;
      &lt;Value&gt;15&lt;/Value&gt;
     &lt;/StopIndex&gt;
     &lt;StopRef&gt;
      &lt;Value&gt;97_3&lt;/Value&gt;
     &lt;/StopRef&gt;
     &lt;GlobalStopRef&gt;
      &lt;Value&gt;55186&lt;/Value&gt;
     &lt;/GlobalStopRef&gt;
     &lt;StopName&gt;
      &lt;Value&gt;c_NoFood&amp;lt;icon type=&amp;quot;c_NoFood&amp;quot;&amp;gt;&amp;lt;/icon&amp;gt;&lt;/Value&gt;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6" spans="1:10" x14ac:dyDescent="0.2">
      <c r="A16" s="3" t="s">
        <v>596</v>
      </c>
      <c r="B16">
        <v>16</v>
      </c>
      <c r="C16" s="3" t="s">
        <v>592</v>
      </c>
      <c r="D16" s="3" t="str">
        <f>iconList!B17&amp;iconList!A17&amp;iconList!B17&amp;iconList!C17</f>
        <v>c_NoFoodInv&amp;lt;icon type=&amp;quot;c_NoFoodInv&amp;quot;&amp;gt;&amp;lt;/icon&amp;gt;</v>
      </c>
      <c r="E16" s="3" t="s">
        <v>593</v>
      </c>
      <c r="J16" t="str">
        <f t="shared" si="0"/>
        <v xml:space="preserve">  &lt;StopPoint&gt;
     &lt;StopIndex&gt;
      &lt;Value&gt;16&lt;/Value&gt;
     &lt;/StopIndex&gt;
     &lt;StopRef&gt;
      &lt;Value&gt;97_3&lt;/Value&gt;
     &lt;/StopRef&gt;
     &lt;GlobalStopRef&gt;
      &lt;Value&gt;55186&lt;/Value&gt;
     &lt;/GlobalStopRef&gt;
     &lt;StopName&gt;
      &lt;Value&gt;c_NoFoodInv&amp;lt;icon type=&amp;quot;c_NoFoodInv&amp;quot;&amp;gt;&amp;lt;/icon&amp;gt;&lt;/Value&gt;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7" spans="1:10" x14ac:dyDescent="0.2">
      <c r="A17" s="3" t="s">
        <v>596</v>
      </c>
      <c r="B17">
        <v>17</v>
      </c>
      <c r="C17" s="3" t="s">
        <v>592</v>
      </c>
      <c r="D17" s="3" t="str">
        <f>iconList!B18&amp;iconList!A18&amp;iconList!B18&amp;iconList!C18</f>
        <v>c_Pid&amp;lt;icon type=&amp;quot;c_Pid&amp;quot;&amp;gt;&amp;lt;/icon&amp;gt;</v>
      </c>
      <c r="E17" s="3" t="s">
        <v>593</v>
      </c>
      <c r="J17" t="str">
        <f t="shared" si="0"/>
        <v xml:space="preserve">  &lt;StopPoint&gt;
     &lt;StopIndex&gt;
      &lt;Value&gt;17&lt;/Value&gt;
     &lt;/StopIndex&gt;
     &lt;StopRef&gt;
      &lt;Value&gt;97_3&lt;/Value&gt;
     &lt;/StopRef&gt;
     &lt;GlobalStopRef&gt;
      &lt;Value&gt;55186&lt;/Value&gt;
     &lt;/GlobalStopRef&gt;
     &lt;StopName&gt;
      &lt;Value&gt;c_Pid&amp;lt;icon type=&amp;quot;c_Pid&amp;quot;&amp;gt;&amp;lt;/icon&amp;gt;&lt;/Value&gt;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8" spans="1:10" x14ac:dyDescent="0.2">
      <c r="A18" s="3" t="s">
        <v>596</v>
      </c>
      <c r="B18">
        <v>18</v>
      </c>
      <c r="C18" s="3" t="s">
        <v>592</v>
      </c>
      <c r="D18" s="3" t="str">
        <f>iconList!B19&amp;iconList!A19&amp;iconList!B19&amp;iconList!C19</f>
        <v>c_Pram&amp;lt;icon type=&amp;quot;c_Pram&amp;quot;&amp;gt;&amp;lt;/icon&amp;gt;</v>
      </c>
      <c r="E18" s="3" t="s">
        <v>593</v>
      </c>
      <c r="J18" t="str">
        <f t="shared" si="0"/>
        <v xml:space="preserve">  &lt;StopPoint&gt;
     &lt;StopIndex&gt;
      &lt;Value&gt;18&lt;/Value&gt;
     &lt;/StopIndex&gt;
     &lt;StopRef&gt;
      &lt;Value&gt;97_3&lt;/Value&gt;
     &lt;/StopRef&gt;
     &lt;GlobalStopRef&gt;
      &lt;Value&gt;55186&lt;/Value&gt;
     &lt;/GlobalStopRef&gt;
     &lt;StopName&gt;
      &lt;Value&gt;c_Pram&amp;lt;icon type=&amp;quot;c_Pram&amp;quot;&amp;gt;&amp;lt;/icon&amp;gt;&lt;/Value&gt;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19" spans="1:10" x14ac:dyDescent="0.2">
      <c r="A19" s="3" t="s">
        <v>596</v>
      </c>
      <c r="B19">
        <v>19</v>
      </c>
      <c r="C19" s="3" t="s">
        <v>592</v>
      </c>
      <c r="D19" s="3" t="str">
        <f>iconList!B20&amp;iconList!A20&amp;iconList!B20&amp;iconList!C20</f>
        <v>c_ReplacementService&amp;lt;icon type=&amp;quot;c_ReplacementService&amp;quot;&amp;gt;&amp;lt;/icon&amp;gt;</v>
      </c>
      <c r="E19" s="3" t="s">
        <v>593</v>
      </c>
      <c r="J19" t="str">
        <f t="shared" si="0"/>
        <v xml:space="preserve">  &lt;StopPoint&gt;
     &lt;StopIndex&gt;
      &lt;Value&gt;19&lt;/Value&gt;
     &lt;/StopIndex&gt;
     &lt;StopRef&gt;
      &lt;Value&gt;97_3&lt;/Value&gt;
     &lt;/StopRef&gt;
     &lt;GlobalStopRef&gt;
      &lt;Value&gt;55186&lt;/Value&gt;
     &lt;/GlobalStopRef&gt;
     &lt;StopName&gt;
      &lt;Value&gt;c_ReplacementService&amp;lt;icon type=&amp;quot;c_ReplacementService&amp;quot;&amp;gt;&amp;lt;/icon&amp;gt;&lt;/Value&gt;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0" spans="1:10" x14ac:dyDescent="0.2">
      <c r="A20" s="3" t="s">
        <v>596</v>
      </c>
      <c r="B20">
        <v>20</v>
      </c>
      <c r="C20" s="3" t="s">
        <v>592</v>
      </c>
      <c r="D20" s="3" t="str">
        <f>iconList!B21&amp;iconList!A21&amp;iconList!B21&amp;iconList!C21</f>
        <v>c_RequestStop&amp;lt;icon type=&amp;quot;c_RequestStop&amp;quot;&amp;gt;&amp;lt;/icon&amp;gt;</v>
      </c>
      <c r="E20" s="3" t="s">
        <v>593</v>
      </c>
      <c r="J20" t="str">
        <f t="shared" si="0"/>
        <v xml:space="preserve">  &lt;StopPoint&gt;
     &lt;StopIndex&gt;
      &lt;Value&gt;20&lt;/Value&gt;
     &lt;/StopIndex&gt;
     &lt;StopRef&gt;
      &lt;Value&gt;97_3&lt;/Value&gt;
     &lt;/StopRef&gt;
     &lt;GlobalStopRef&gt;
      &lt;Value&gt;55186&lt;/Value&gt;
     &lt;/GlobalStopRef&gt;
     &lt;StopName&gt;
      &lt;Value&gt;c_RequestStop&amp;lt;icon type=&amp;quot;c_RequestStop&amp;quot;&amp;gt;&amp;lt;/icon&amp;gt;&lt;/Value&gt;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1" spans="1:10" x14ac:dyDescent="0.2">
      <c r="A21" s="3" t="s">
        <v>596</v>
      </c>
      <c r="B21">
        <v>21</v>
      </c>
      <c r="C21" s="3" t="s">
        <v>592</v>
      </c>
      <c r="D21" s="3" t="str">
        <f>iconList!B22&amp;iconList!A22&amp;iconList!B22&amp;iconList!C22</f>
        <v>c_RequestStopInv&amp;lt;icon type=&amp;quot;c_RequestStopInv&amp;quot;&amp;gt;&amp;lt;/icon&amp;gt;</v>
      </c>
      <c r="E21" s="3" t="s">
        <v>593</v>
      </c>
      <c r="J21" t="str">
        <f t="shared" si="0"/>
        <v xml:space="preserve">  &lt;StopPoint&gt;
     &lt;StopIndex&gt;
      &lt;Value&gt;21&lt;/Value&gt;
     &lt;/StopIndex&gt;
     &lt;StopRef&gt;
      &lt;Value&gt;97_3&lt;/Value&gt;
     &lt;/StopRef&gt;
     &lt;GlobalStopRef&gt;
      &lt;Value&gt;55186&lt;/Value&gt;
     &lt;/GlobalStopRef&gt;
     &lt;StopName&gt;
      &lt;Value&gt;c_RequestStopInv&amp;lt;icon type=&amp;quot;c_RequestStopInv&amp;quot;&amp;gt;&amp;lt;/icon&amp;gt;&lt;/Value&gt;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2" spans="1:10" x14ac:dyDescent="0.2">
      <c r="A22" s="3" t="s">
        <v>596</v>
      </c>
      <c r="B22">
        <v>22</v>
      </c>
      <c r="C22" s="3" t="s">
        <v>592</v>
      </c>
      <c r="D22" s="3" t="str">
        <f>iconList!B23&amp;iconList!A23&amp;iconList!B23&amp;iconList!C23</f>
        <v>c_SBahn&amp;lt;icon type=&amp;quot;c_SBahn&amp;quot;&amp;gt;&amp;lt;/icon&amp;gt;</v>
      </c>
      <c r="E22" s="3" t="s">
        <v>593</v>
      </c>
      <c r="J22" t="str">
        <f t="shared" si="0"/>
        <v xml:space="preserve">  &lt;StopPoint&gt;
     &lt;StopIndex&gt;
      &lt;Value&gt;22&lt;/Value&gt;
     &lt;/StopIndex&gt;
     &lt;StopRef&gt;
      &lt;Value&gt;97_3&lt;/Value&gt;
     &lt;/StopRef&gt;
     &lt;GlobalStopRef&gt;
      &lt;Value&gt;55186&lt;/Value&gt;
     &lt;/GlobalStopRef&gt;
     &lt;StopName&gt;
      &lt;Value&gt;c_SBahn&amp;lt;icon type=&amp;quot;c_SBahn&amp;quot;&amp;gt;&amp;lt;/icon&amp;gt;&lt;/Value&gt;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3" spans="1:10" x14ac:dyDescent="0.2">
      <c r="A23" s="3" t="s">
        <v>596</v>
      </c>
      <c r="B23">
        <v>23</v>
      </c>
      <c r="C23" s="3" t="s">
        <v>592</v>
      </c>
      <c r="D23" s="3" t="str">
        <f>iconList!B24&amp;iconList!A24&amp;iconList!B24&amp;iconList!C24</f>
        <v>c_Train&amp;lt;icon type=&amp;quot;c_Train&amp;quot;&amp;gt;&amp;lt;/icon&amp;gt;</v>
      </c>
      <c r="E23" s="3" t="s">
        <v>593</v>
      </c>
      <c r="J23" t="str">
        <f t="shared" si="0"/>
        <v xml:space="preserve">  &lt;StopPoint&gt;
     &lt;StopIndex&gt;
      &lt;Value&gt;23&lt;/Value&gt;
     &lt;/StopIndex&gt;
     &lt;StopRef&gt;
      &lt;Value&gt;97_3&lt;/Value&gt;
     &lt;/StopRef&gt;
     &lt;GlobalStopRef&gt;
      &lt;Value&gt;55186&lt;/Value&gt;
     &lt;/GlobalStopRef&gt;
     &lt;StopName&gt;
      &lt;Value&gt;c_Train&amp;lt;icon type=&amp;quot;c_Train&amp;quot;&amp;gt;&amp;lt;/icon&amp;gt;&lt;/Value&gt;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4" spans="1:10" x14ac:dyDescent="0.2">
      <c r="A24" s="3" t="s">
        <v>596</v>
      </c>
      <c r="B24">
        <v>24</v>
      </c>
      <c r="C24" s="3" t="s">
        <v>592</v>
      </c>
      <c r="D24" s="3" t="str">
        <f>iconList!B25&amp;iconList!A25&amp;iconList!B25&amp;iconList!C25</f>
        <v>c_TrainEnd&amp;lt;icon type=&amp;quot;c_TrainEnd&amp;quot;&amp;gt;&amp;lt;/icon&amp;gt;</v>
      </c>
      <c r="E24" s="3" t="s">
        <v>593</v>
      </c>
      <c r="J24" t="str">
        <f t="shared" si="0"/>
        <v xml:space="preserve">  &lt;StopPoint&gt;
     &lt;StopIndex&gt;
      &lt;Value&gt;24&lt;/Value&gt;
     &lt;/StopIndex&gt;
     &lt;StopRef&gt;
      &lt;Value&gt;97_3&lt;/Value&gt;
     &lt;/StopRef&gt;
     &lt;GlobalStopRef&gt;
      &lt;Value&gt;55186&lt;/Value&gt;
     &lt;/GlobalStopRef&gt;
     &lt;StopName&gt;
      &lt;Value&gt;c_TrainEnd&amp;lt;icon type=&amp;quot;c_TrainEnd&amp;quot;&amp;gt;&amp;lt;/icon&amp;gt;&lt;/Value&gt;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5" spans="1:10" x14ac:dyDescent="0.2">
      <c r="A25" s="3" t="s">
        <v>596</v>
      </c>
      <c r="B25">
        <v>25</v>
      </c>
      <c r="C25" s="3" t="s">
        <v>592</v>
      </c>
      <c r="D25" s="3" t="str">
        <f>iconList!B26&amp;iconList!A26&amp;iconList!B26&amp;iconList!C26</f>
        <v>c_Tram&amp;lt;icon type=&amp;quot;c_Tram&amp;quot;&amp;gt;&amp;lt;/icon&amp;gt;</v>
      </c>
      <c r="E25" s="3" t="s">
        <v>593</v>
      </c>
      <c r="J25" t="str">
        <f t="shared" si="0"/>
        <v xml:space="preserve">  &lt;StopPoint&gt;
     &lt;StopIndex&gt;
      &lt;Value&gt;25&lt;/Value&gt;
     &lt;/StopIndex&gt;
     &lt;StopRef&gt;
      &lt;Value&gt;97_3&lt;/Value&gt;
     &lt;/StopRef&gt;
     &lt;GlobalStopRef&gt;
      &lt;Value&gt;55186&lt;/Value&gt;
     &lt;/GlobalStopRef&gt;
     &lt;StopName&gt;
      &lt;Value&gt;c_Tram&amp;lt;icon type=&amp;quot;c_Tram&amp;quot;&amp;gt;&amp;lt;/icon&amp;gt;&lt;/Value&gt;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6" spans="1:10" x14ac:dyDescent="0.2">
      <c r="A26" s="3" t="s">
        <v>596</v>
      </c>
      <c r="B26">
        <v>26</v>
      </c>
      <c r="C26" s="3" t="s">
        <v>592</v>
      </c>
      <c r="D26" s="3" t="str">
        <f>iconList!B27&amp;iconList!A27&amp;iconList!B27&amp;iconList!C27</f>
        <v>c_Trolleybus&amp;lt;icon type=&amp;quot;c_Trolleybus&amp;quot;&amp;gt;&amp;lt;/icon&amp;gt;</v>
      </c>
      <c r="E26" s="3" t="s">
        <v>593</v>
      </c>
      <c r="J26" t="str">
        <f t="shared" si="0"/>
        <v xml:space="preserve">  &lt;StopPoint&gt;
     &lt;StopIndex&gt;
      &lt;Value&gt;26&lt;/Value&gt;
     &lt;/StopIndex&gt;
     &lt;StopRef&gt;
      &lt;Value&gt;97_3&lt;/Value&gt;
     &lt;/StopRef&gt;
     &lt;GlobalStopRef&gt;
      &lt;Value&gt;55186&lt;/Value&gt;
     &lt;/GlobalStopRef&gt;
     &lt;StopName&gt;
      &lt;Value&gt;c_Trolleybus&amp;lt;icon type=&amp;quot;c_Trolleybus&amp;quot;&amp;gt;&amp;lt;/icon&amp;gt;&lt;/Value&gt;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7" spans="1:10" x14ac:dyDescent="0.2">
      <c r="A27" s="3" t="s">
        <v>596</v>
      </c>
      <c r="B27">
        <v>27</v>
      </c>
      <c r="C27" s="3" t="s">
        <v>592</v>
      </c>
      <c r="D27" s="3" t="str">
        <f>iconList!B28&amp;iconList!A28&amp;iconList!B28&amp;iconList!C28</f>
        <v>c_UndergroundA&amp;lt;icon type=&amp;quot;c_UndergroundA&amp;quot;&amp;gt;&amp;lt;/icon&amp;gt;</v>
      </c>
      <c r="E27" s="3" t="s">
        <v>593</v>
      </c>
      <c r="J27" t="str">
        <f t="shared" si="0"/>
        <v xml:space="preserve">  &lt;StopPoint&gt;
     &lt;StopIndex&gt;
      &lt;Value&gt;27&lt;/Value&gt;
     &lt;/StopIndex&gt;
     &lt;StopRef&gt;
      &lt;Value&gt;97_3&lt;/Value&gt;
     &lt;/StopRef&gt;
     &lt;GlobalStopRef&gt;
      &lt;Value&gt;55186&lt;/Value&gt;
     &lt;/GlobalStopRef&gt;
     &lt;StopName&gt;
      &lt;Value&gt;c_UndergroundA&amp;lt;icon type=&amp;quot;c_UndergroundA&amp;quot;&amp;gt;&amp;lt;/icon&amp;gt;&lt;/Value&gt;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8" spans="1:10" x14ac:dyDescent="0.2">
      <c r="A28" s="3" t="s">
        <v>596</v>
      </c>
      <c r="B28">
        <v>28</v>
      </c>
      <c r="C28" s="3" t="s">
        <v>592</v>
      </c>
      <c r="D28" s="3" t="str">
        <f>iconList!B29&amp;iconList!A29&amp;iconList!B29&amp;iconList!C29</f>
        <v>c_UndergroundB&amp;lt;icon type=&amp;quot;c_UndergroundB&amp;quot;&amp;gt;&amp;lt;/icon&amp;gt;</v>
      </c>
      <c r="E28" s="3" t="s">
        <v>593</v>
      </c>
      <c r="J28" t="str">
        <f t="shared" si="0"/>
        <v xml:space="preserve">  &lt;StopPoint&gt;
     &lt;StopIndex&gt;
      &lt;Value&gt;28&lt;/Value&gt;
     &lt;/StopIndex&gt;
     &lt;StopRef&gt;
      &lt;Value&gt;97_3&lt;/Value&gt;
     &lt;/StopRef&gt;
     &lt;GlobalStopRef&gt;
      &lt;Value&gt;55186&lt;/Value&gt;
     &lt;/GlobalStopRef&gt;
     &lt;StopName&gt;
      &lt;Value&gt;c_UndergroundB&amp;lt;icon type=&amp;quot;c_UndergroundB&amp;quot;&amp;gt;&amp;lt;/icon&amp;gt;&lt;/Value&gt;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29" spans="1:10" x14ac:dyDescent="0.2">
      <c r="A29" s="3" t="s">
        <v>596</v>
      </c>
      <c r="B29">
        <v>29</v>
      </c>
      <c r="C29" s="3" t="s">
        <v>592</v>
      </c>
      <c r="D29" s="3" t="str">
        <f>iconList!B30&amp;iconList!A30&amp;iconList!B30&amp;iconList!C30</f>
        <v>c_UndergroundC&amp;lt;icon type=&amp;quot;c_UndergroundC&amp;quot;&amp;gt;&amp;lt;/icon&amp;gt;</v>
      </c>
      <c r="E29" s="3" t="s">
        <v>593</v>
      </c>
      <c r="J29" t="str">
        <f t="shared" si="0"/>
        <v xml:space="preserve">  &lt;StopPoint&gt;
     &lt;StopIndex&gt;
      &lt;Value&gt;29&lt;/Value&gt;
     &lt;/StopIndex&gt;
     &lt;StopRef&gt;
      &lt;Value&gt;97_3&lt;/Value&gt;
     &lt;/StopRef&gt;
     &lt;GlobalStopRef&gt;
      &lt;Value&gt;55186&lt;/Value&gt;
     &lt;/GlobalStopRef&gt;
     &lt;StopName&gt;
      &lt;Value&gt;c_UndergroundC&amp;lt;icon type=&amp;quot;c_UndergroundC&amp;quot;&amp;gt;&amp;lt;/icon&amp;gt;&lt;/Value&gt;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30" spans="1:10" x14ac:dyDescent="0.2">
      <c r="A30" s="3" t="s">
        <v>596</v>
      </c>
      <c r="B30">
        <v>30</v>
      </c>
      <c r="C30" s="3" t="s">
        <v>592</v>
      </c>
      <c r="D30" s="3" t="str">
        <f>iconList!B31&amp;iconList!A31&amp;iconList!B31&amp;iconList!C31</f>
        <v>c_UndergroundD&amp;lt;icon type=&amp;quot;c_UndergroundD&amp;quot;&amp;gt;&amp;lt;/icon&amp;gt;</v>
      </c>
      <c r="E30" s="3" t="s">
        <v>593</v>
      </c>
      <c r="J30" t="str">
        <f t="shared" si="0"/>
        <v xml:space="preserve">  &lt;StopPoint&gt;
     &lt;StopIndex&gt;
      &lt;Value&gt;30&lt;/Value&gt;
     &lt;/StopIndex&gt;
     &lt;StopRef&gt;
      &lt;Value&gt;97_3&lt;/Value&gt;
     &lt;/StopRef&gt;
     &lt;GlobalStopRef&gt;
      &lt;Value&gt;55186&lt;/Value&gt;
     &lt;/GlobalStopRef&gt;
     &lt;StopName&gt;
      &lt;Value&gt;c_UndergroundD&amp;lt;icon type=&amp;quot;c_UndergroundD&amp;quot;&amp;gt;&amp;lt;/icon&amp;gt;&lt;/Value&gt;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31" spans="1:10" x14ac:dyDescent="0.2">
      <c r="A31" s="3" t="s">
        <v>596</v>
      </c>
      <c r="B31">
        <v>31</v>
      </c>
      <c r="C31" s="3" t="s">
        <v>592</v>
      </c>
      <c r="D31" s="3" t="str">
        <f>iconList!B32&amp;iconList!A32&amp;iconList!B32&amp;iconList!C32</f>
        <v>c_WheelChair&amp;lt;icon type=&amp;quot;c_WheelChair&amp;quot;&amp;gt;&amp;lt;/icon&amp;gt;</v>
      </c>
      <c r="E31" s="3" t="s">
        <v>593</v>
      </c>
      <c r="J31" t="str">
        <f t="shared" si="0"/>
        <v xml:space="preserve">  &lt;StopPoint&gt;
     &lt;StopIndex&gt;
      &lt;Value&gt;31&lt;/Value&gt;
     &lt;/StopIndex&gt;
     &lt;StopRef&gt;
      &lt;Value&gt;97_3&lt;/Value&gt;
     &lt;/StopRef&gt;
     &lt;GlobalStopRef&gt;
      &lt;Value&gt;55186&lt;/Value&gt;
     &lt;/GlobalStopRef&gt;
     &lt;StopName&gt;
      &lt;Value&gt;c_WheelChair&amp;lt;icon type=&amp;quot;c_WheelChair&amp;quot;&amp;gt;&amp;lt;/icon&amp;gt;&lt;/Value&gt;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32" spans="1:10" x14ac:dyDescent="0.2">
      <c r="A32" s="3" t="s">
        <v>596</v>
      </c>
      <c r="B32">
        <v>32</v>
      </c>
      <c r="C32" s="3" t="s">
        <v>592</v>
      </c>
      <c r="D32" s="3" t="str">
        <f>iconList!B33&amp;iconList!A33&amp;iconList!B33&amp;iconList!C33</f>
        <v>c_WheelChairLine &amp;lt;icon type=&amp;quot;c_WheelChairLine &amp;quot;&amp;gt;&amp;lt;/icon&amp;gt;</v>
      </c>
      <c r="E32" s="3" t="s">
        <v>593</v>
      </c>
      <c r="J32" t="str">
        <f t="shared" si="0"/>
        <v xml:space="preserve">  &lt;StopPoint&gt;
     &lt;StopIndex&gt;
      &lt;Value&gt;32&lt;/Value&gt;
     &lt;/StopIndex&gt;
     &lt;StopRef&gt;
      &lt;Value&gt;97_3&lt;/Value&gt;
     &lt;/StopRef&gt;
     &lt;GlobalStopRef&gt;
      &lt;Value&gt;55186&lt;/Value&gt;
     &lt;/GlobalStopRef&gt;
     &lt;StopName&gt;
      &lt;Value&gt;c_WheelChairLine &amp;lt;icon type=&amp;quot;c_WheelChairLine 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33" spans="1:10" x14ac:dyDescent="0.2">
      <c r="A33" s="3" t="s">
        <v>596</v>
      </c>
      <c r="B33">
        <v>33</v>
      </c>
      <c r="C33" s="3" t="s">
        <v>592</v>
      </c>
      <c r="D33" s="3" t="str">
        <f>iconList!B34&amp;iconList!A34&amp;iconList!B34&amp;iconList!C34</f>
        <v>c_ReplacementStop&amp;lt;icon type=&amp;quot;c_ReplacementStop&amp;quot;&amp;gt;&amp;lt;/icon&amp;gt;</v>
      </c>
      <c r="E33" s="3" t="s">
        <v>593</v>
      </c>
      <c r="J33" t="str">
        <f t="shared" si="0"/>
        <v xml:space="preserve">  &lt;StopPoint&gt;
     &lt;StopIndex&gt;
      &lt;Value&gt;33&lt;/Value&gt;
     &lt;/StopIndex&gt;
     &lt;StopRef&gt;
      &lt;Value&gt;97_3&lt;/Value&gt;
     &lt;/StopRef&gt;
     &lt;GlobalStopRef&gt;
      &lt;Value&gt;55186&lt;/Value&gt;
     &lt;/GlobalStopRef&gt;
     &lt;StopName&gt;
      &lt;Value&gt;c_ReplacementStop&amp;lt;icon type=&amp;quot;c_ReplacementStop&amp;quot;&amp;gt;&amp;lt;/icon&amp;gt;&lt;/Value&gt;
      &lt;Language&gt;cs&lt;/Language&gt;
     &lt;/StopName&gt;
     &lt;Platform&gt;
      &lt;Value&gt;C&lt;/Value&gt;
     &lt;/Platform&gt;
     &lt;DisplayContent&gt;
      &lt;DisplayContentRef&gt;
       &lt;Value&gt;Interior&lt;/Value&gt;
      &lt;/DisplayContentRef&gt;
      &lt;LineInformation&gt;
       &lt;LineRef&gt;
        &lt;Value&gt;110&lt;/Value&gt;
       &lt;/LineRef&gt;
       &lt;LineName&gt;
        &lt;Value&gt;&amp;lt;color fg=&amp;quot;#0078a0&amp;quot; bg=&amp;quot;#ffffff&amp;quot;&amp;gt;110&amp;lt;/color&amp;gt;&lt;/Value&gt;
        &lt;Language&gt;cs&lt;/Language&gt;
       &lt;/LineName&gt;
       &lt;LineNumber&gt;
        &lt;Value&gt;100110&lt;/Value&gt;
       &lt;/LineNumber&gt;
      &lt;/LineInformation&gt;
      &lt;Destination&gt;
       &lt;DestinationRef&gt;
        &lt;Value&gt;368_3&lt;/Value&gt;
       &lt;/DestinationRef&gt;
       &lt;DestinationName&gt;
        &lt;Value&gt;OC Čakovice&lt;/Value&gt;
        &lt;Language&gt;cs&lt;/Language&gt;
       &lt;/DestinationName&gt;
      &lt;/Destination&gt;
     &lt;/DisplayContent&gt;
     &lt;DepartureScheduled&gt;
      &lt;Value&gt;2025-04-29T08:14:00&lt;/Value&gt;
     &lt;/DepartureScheduled&gt;
     &lt;DepartureExpected&gt;
      &lt;Value&gt;2025-04-29T08:14:00&lt;/Value&gt;
     &lt;/DepartureExpected&gt;
     &lt;FareZone&gt;
      &lt;Value&gt;P&lt;/Value&gt;
      &lt;Language&gt;cs&lt;/Language&gt;
     &lt;/FareZone&gt;
    &lt;/StopPoint&gt;</v>
      </c>
    </row>
    <row r="34" spans="1:10" x14ac:dyDescent="0.2">
      <c r="A34" s="3"/>
      <c r="C34" s="3"/>
      <c r="D34" s="3"/>
      <c r="E34" s="3"/>
    </row>
    <row r="35" spans="1:10" x14ac:dyDescent="0.2">
      <c r="A35" s="3"/>
      <c r="C35" s="3"/>
      <c r="D35" s="3"/>
      <c r="E35" s="3"/>
    </row>
    <row r="36" spans="1:10" x14ac:dyDescent="0.2">
      <c r="A36" s="3"/>
      <c r="C36" s="3"/>
      <c r="D36" s="3"/>
      <c r="E36" s="3"/>
    </row>
    <row r="37" spans="1:10" x14ac:dyDescent="0.2">
      <c r="A37" s="3"/>
      <c r="C37" s="3"/>
      <c r="D37" s="3"/>
      <c r="E37" s="3"/>
    </row>
    <row r="38" spans="1:10" x14ac:dyDescent="0.2">
      <c r="A38" s="3"/>
      <c r="C38" s="3"/>
      <c r="D38" s="3"/>
      <c r="E38" s="3"/>
    </row>
    <row r="39" spans="1:10" x14ac:dyDescent="0.2">
      <c r="A39" s="3"/>
      <c r="C39" s="3"/>
      <c r="D39" s="3"/>
      <c r="E39" s="3"/>
    </row>
    <row r="40" spans="1:10" x14ac:dyDescent="0.2">
      <c r="A40" s="3"/>
      <c r="C40" s="3"/>
      <c r="D40" s="3"/>
      <c r="E40" s="3"/>
    </row>
    <row r="41" spans="1:10" x14ac:dyDescent="0.2">
      <c r="A41" s="3"/>
      <c r="C41" s="3"/>
      <c r="D41" s="3"/>
      <c r="E41" s="3"/>
    </row>
    <row r="42" spans="1:10" x14ac:dyDescent="0.2">
      <c r="A42" s="3"/>
      <c r="C42" s="3"/>
      <c r="D42" s="3"/>
      <c r="E42" s="3"/>
    </row>
    <row r="43" spans="1:10" x14ac:dyDescent="0.2">
      <c r="A43" s="3"/>
      <c r="C43" s="3"/>
      <c r="D43" s="3"/>
      <c r="E43" s="3"/>
    </row>
    <row r="44" spans="1:10" x14ac:dyDescent="0.2">
      <c r="A44" s="3"/>
      <c r="C44" s="3"/>
      <c r="D44" s="3"/>
      <c r="E44" s="3"/>
    </row>
    <row r="45" spans="1:10" x14ac:dyDescent="0.2">
      <c r="A45" s="3"/>
      <c r="C45" s="3"/>
      <c r="D45" s="3"/>
      <c r="E45" s="3"/>
    </row>
    <row r="46" spans="1:10" x14ac:dyDescent="0.2">
      <c r="A46" s="3"/>
      <c r="C46" s="3"/>
      <c r="D46" s="3"/>
      <c r="E46" s="3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EE39E-E7AC-4196-BEF3-72365DB98ED5}">
  <dimension ref="A1:C9"/>
  <sheetViews>
    <sheetView workbookViewId="0">
      <selection activeCell="C9" sqref="C9"/>
    </sheetView>
  </sheetViews>
  <sheetFormatPr defaultRowHeight="12.75" x14ac:dyDescent="0.2"/>
  <cols>
    <col min="1" max="1" width="11.42578125" bestFit="1" customWidth="1"/>
  </cols>
  <sheetData>
    <row r="1" spans="1:3" x14ac:dyDescent="0.2">
      <c r="A1" t="e" vm="1">
        <f>_xlfn.TEXTJOIN("",TRUE,A9,stopPointGenerator!J:J,C9)</f>
        <v>#VALUE!</v>
      </c>
    </row>
    <row r="9" spans="1:3" ht="409.5" x14ac:dyDescent="0.2">
      <c r="A9" s="21" t="s">
        <v>594</v>
      </c>
      <c r="C9" s="21" t="s">
        <v>595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8</vt:i4>
      </vt:variant>
    </vt:vector>
  </HeadingPairs>
  <TitlesOfParts>
    <vt:vector size="8" baseType="lpstr">
      <vt:lpstr>Namluvit</vt:lpstr>
      <vt:lpstr>slozit</vt:lpstr>
      <vt:lpstr>mergedResult</vt:lpstr>
      <vt:lpstr>Namluveno k 12-2020</vt:lpstr>
      <vt:lpstr>ciselnik</vt:lpstr>
      <vt:lpstr>iconList</vt:lpstr>
      <vt:lpstr>stopPointGenerator</vt:lpstr>
      <vt:lpstr>spJoint</vt:lpstr>
    </vt:vector>
  </TitlesOfParts>
  <Company>R O P I 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Vršitý</dc:creator>
  <cp:lastModifiedBy>Eichler Adam</cp:lastModifiedBy>
  <cp:lastPrinted>2020-11-11T08:12:03Z</cp:lastPrinted>
  <dcterms:created xsi:type="dcterms:W3CDTF">2009-05-29T06:53:06Z</dcterms:created>
  <dcterms:modified xsi:type="dcterms:W3CDTF">2025-05-05T14:12:41Z</dcterms:modified>
</cp:coreProperties>
</file>